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lja\Downloads\"/>
    </mc:Choice>
  </mc:AlternateContent>
  <xr:revisionPtr revIDLastSave="0" documentId="13_ncr:1_{0CA47511-708F-4168-88AD-F66283462709}" xr6:coauthVersionLast="47" xr6:coauthVersionMax="47" xr10:uidLastSave="{00000000-0000-0000-0000-000000000000}"/>
  <bookViews>
    <workbookView xWindow="-96" yWindow="-96" windowWidth="19992" windowHeight="12672" tabRatio="500" activeTab="2" xr2:uid="{00000000-000D-0000-FFFF-FFFF00000000}"/>
  </bookViews>
  <sheets>
    <sheet name="Dashboard" sheetId="1" r:id="rId1"/>
    <sheet name="Data" sheetId="2" r:id="rId2"/>
    <sheet name="Cutoffs" sheetId="3" r:id="rId3"/>
    <sheet name="Segments" sheetId="4" r:id="rId4"/>
    <sheet name="RF_Heatmap" sheetId="5" r:id="rId5"/>
    <sheet name="Drivers" sheetId="6" r:id="rId6"/>
    <sheet name="Cuts" sheetId="7" r:id="rId7"/>
    <sheet name="About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7" l="1"/>
  <c r="B19" i="7"/>
  <c r="C18" i="7"/>
  <c r="B18" i="7"/>
  <c r="C17" i="7"/>
  <c r="B17" i="7"/>
  <c r="C16" i="7"/>
  <c r="B16" i="7"/>
  <c r="C15" i="7"/>
  <c r="B15" i="7"/>
  <c r="C14" i="7"/>
  <c r="B14" i="7"/>
  <c r="C9" i="7"/>
  <c r="B9" i="7"/>
  <c r="C8" i="7"/>
  <c r="B8" i="7"/>
  <c r="C7" i="7"/>
  <c r="B7" i="7"/>
  <c r="C6" i="7"/>
  <c r="B6" i="7"/>
  <c r="C5" i="7"/>
  <c r="B5" i="7"/>
  <c r="C12" i="6"/>
  <c r="D12" i="6" s="1"/>
  <c r="B12" i="6"/>
  <c r="C11" i="6"/>
  <c r="D11" i="6" s="1"/>
  <c r="B11" i="6"/>
  <c r="C10" i="6"/>
  <c r="D10" i="6" s="1"/>
  <c r="B10" i="6"/>
  <c r="C9" i="6"/>
  <c r="D9" i="6" s="1"/>
  <c r="B9" i="6"/>
  <c r="C8" i="6"/>
  <c r="D8" i="6" s="1"/>
  <c r="B8" i="6"/>
  <c r="C7" i="6"/>
  <c r="D7" i="6" s="1"/>
  <c r="B7" i="6"/>
  <c r="C6" i="6"/>
  <c r="D6" i="6" s="1"/>
  <c r="B6" i="6"/>
  <c r="C5" i="6"/>
  <c r="D5" i="6" s="1"/>
  <c r="B5" i="6"/>
  <c r="D6" i="3"/>
  <c r="C6" i="3"/>
  <c r="B6" i="3"/>
  <c r="D5" i="3"/>
  <c r="C5" i="3"/>
  <c r="B5" i="3"/>
  <c r="D4" i="3"/>
  <c r="N317" i="2" s="1"/>
  <c r="C4" i="3"/>
  <c r="B4" i="3"/>
  <c r="P336" i="2"/>
  <c r="O336" i="2"/>
  <c r="P335" i="2"/>
  <c r="O335" i="2"/>
  <c r="P334" i="2"/>
  <c r="O334" i="2"/>
  <c r="P333" i="2"/>
  <c r="O333" i="2"/>
  <c r="P332" i="2"/>
  <c r="O332" i="2"/>
  <c r="P331" i="2"/>
  <c r="O331" i="2"/>
  <c r="P330" i="2"/>
  <c r="O330" i="2"/>
  <c r="P329" i="2"/>
  <c r="O329" i="2"/>
  <c r="N329" i="2"/>
  <c r="P328" i="2"/>
  <c r="O328" i="2"/>
  <c r="P327" i="2"/>
  <c r="O327" i="2"/>
  <c r="P326" i="2"/>
  <c r="O326" i="2"/>
  <c r="P325" i="2"/>
  <c r="O325" i="2"/>
  <c r="N325" i="2"/>
  <c r="P324" i="2"/>
  <c r="O324" i="2"/>
  <c r="N324" i="2"/>
  <c r="P323" i="2"/>
  <c r="O323" i="2"/>
  <c r="P322" i="2"/>
  <c r="O322" i="2"/>
  <c r="N322" i="2"/>
  <c r="P321" i="2"/>
  <c r="O321" i="2"/>
  <c r="N321" i="2"/>
  <c r="P320" i="2"/>
  <c r="O320" i="2"/>
  <c r="N320" i="2"/>
  <c r="P319" i="2"/>
  <c r="O319" i="2"/>
  <c r="P318" i="2"/>
  <c r="O318" i="2"/>
  <c r="N318" i="2"/>
  <c r="P317" i="2"/>
  <c r="O317" i="2"/>
  <c r="P316" i="2"/>
  <c r="O316" i="2"/>
  <c r="N316" i="2"/>
  <c r="P315" i="2"/>
  <c r="O315" i="2"/>
  <c r="N315" i="2"/>
  <c r="P314" i="2"/>
  <c r="O314" i="2"/>
  <c r="N314" i="2"/>
  <c r="E5" i="1"/>
  <c r="B5" i="1"/>
  <c r="P222" i="2" l="1"/>
  <c r="P311" i="2"/>
  <c r="P98" i="2"/>
  <c r="P196" i="2"/>
  <c r="P310" i="2"/>
  <c r="P99" i="2"/>
  <c r="P173" i="2"/>
  <c r="P309" i="2"/>
  <c r="P158" i="2"/>
  <c r="P156" i="2"/>
  <c r="P308" i="2"/>
  <c r="P155" i="2"/>
  <c r="P154" i="2"/>
  <c r="P307" i="2"/>
  <c r="P162" i="2"/>
  <c r="P151" i="2"/>
  <c r="P306" i="2"/>
  <c r="P150" i="2"/>
  <c r="P149" i="2"/>
  <c r="P305" i="2"/>
  <c r="P195" i="2"/>
  <c r="P147" i="2"/>
  <c r="P304" i="2"/>
  <c r="P100" i="2"/>
  <c r="P145" i="2"/>
  <c r="P303" i="2"/>
  <c r="P144" i="2"/>
  <c r="P184" i="2"/>
  <c r="P302" i="2"/>
  <c r="P163" i="2"/>
  <c r="P138" i="2"/>
  <c r="P301" i="2"/>
  <c r="P101" i="2"/>
  <c r="P2" i="2"/>
  <c r="P300" i="2"/>
  <c r="P194" i="2"/>
  <c r="P3" i="2"/>
  <c r="P299" i="2"/>
  <c r="P177" i="2"/>
  <c r="P4" i="2"/>
  <c r="P298" i="2"/>
  <c r="P135" i="2"/>
  <c r="P5" i="2"/>
  <c r="P297" i="2"/>
  <c r="P164" i="2"/>
  <c r="P6" i="2"/>
  <c r="P296" i="2"/>
  <c r="P102" i="2"/>
  <c r="P7" i="2"/>
  <c r="P295" i="2"/>
  <c r="P193" i="2"/>
  <c r="P8" i="2"/>
  <c r="P294" i="2"/>
  <c r="P103" i="2"/>
  <c r="P9" i="2"/>
  <c r="P293" i="2"/>
  <c r="P131" i="2"/>
  <c r="P10" i="2"/>
  <c r="P292" i="2"/>
  <c r="P104" i="2"/>
  <c r="P11" i="2"/>
  <c r="P291" i="2"/>
  <c r="P174" i="2"/>
  <c r="P12" i="2"/>
  <c r="P290" i="2"/>
  <c r="P128" i="2"/>
  <c r="P13" i="2"/>
  <c r="P289" i="2"/>
  <c r="P14" i="2"/>
  <c r="P288" i="2"/>
  <c r="P15" i="2"/>
  <c r="P287" i="2"/>
  <c r="P105" i="2"/>
  <c r="P16" i="2"/>
  <c r="P286" i="2"/>
  <c r="P106" i="2"/>
  <c r="P17" i="2"/>
  <c r="P285" i="2"/>
  <c r="P107" i="2"/>
  <c r="P18" i="2"/>
  <c r="P284" i="2"/>
  <c r="P108" i="2"/>
  <c r="P19" i="2"/>
  <c r="P283" i="2"/>
  <c r="P109" i="2"/>
  <c r="P20" i="2"/>
  <c r="P282" i="2"/>
  <c r="P220" i="2"/>
  <c r="P21" i="2"/>
  <c r="P281" i="2"/>
  <c r="P165" i="2"/>
  <c r="P22" i="2"/>
  <c r="P280" i="2"/>
  <c r="P110" i="2"/>
  <c r="P23" i="2"/>
  <c r="P279" i="2"/>
  <c r="P219" i="2"/>
  <c r="P24" i="2"/>
  <c r="P278" i="2"/>
  <c r="P192" i="2"/>
  <c r="P25" i="2"/>
  <c r="P277" i="2"/>
  <c r="P111" i="2"/>
  <c r="P26" i="2"/>
  <c r="P276" i="2"/>
  <c r="P218" i="2"/>
  <c r="P27" i="2"/>
  <c r="P275" i="2"/>
  <c r="P183" i="2"/>
  <c r="P28" i="2"/>
  <c r="P274" i="2"/>
  <c r="P112" i="2"/>
  <c r="P29" i="2"/>
  <c r="P273" i="2"/>
  <c r="P217" i="2"/>
  <c r="P166" i="2"/>
  <c r="P272" i="2"/>
  <c r="P113" i="2"/>
  <c r="P30" i="2"/>
  <c r="P271" i="2"/>
  <c r="P216" i="2"/>
  <c r="P31" i="2"/>
  <c r="P270" i="2"/>
  <c r="P191" i="2"/>
  <c r="P32" i="2"/>
  <c r="P269" i="2"/>
  <c r="P114" i="2"/>
  <c r="P33" i="2"/>
  <c r="P268" i="2"/>
  <c r="P215" i="2"/>
  <c r="P267" i="2"/>
  <c r="P180" i="2"/>
  <c r="P35" i="2"/>
  <c r="P266" i="2"/>
  <c r="P115" i="2"/>
  <c r="P37" i="2"/>
  <c r="P265" i="2"/>
  <c r="P214" i="2"/>
  <c r="P40" i="2"/>
  <c r="P264" i="2"/>
  <c r="P167" i="2"/>
  <c r="P43" i="2"/>
  <c r="P263" i="2"/>
  <c r="P116" i="2"/>
  <c r="P44" i="2"/>
  <c r="P262" i="2"/>
  <c r="P213" i="2"/>
  <c r="P45" i="2"/>
  <c r="P261" i="2"/>
  <c r="P190" i="2"/>
  <c r="P46" i="2"/>
  <c r="P260" i="2"/>
  <c r="P117" i="2"/>
  <c r="P47" i="2"/>
  <c r="P259" i="2"/>
  <c r="P212" i="2"/>
  <c r="P48" i="2"/>
  <c r="P258" i="2"/>
  <c r="P175" i="2"/>
  <c r="P49" i="2"/>
  <c r="P257" i="2"/>
  <c r="P118" i="2"/>
  <c r="P50" i="2"/>
  <c r="P256" i="2"/>
  <c r="P211" i="2"/>
  <c r="P51" i="2"/>
  <c r="P255" i="2"/>
  <c r="P52" i="2"/>
  <c r="P254" i="2"/>
  <c r="P168" i="2"/>
  <c r="P53" i="2"/>
  <c r="P119" i="2"/>
  <c r="P252" i="2"/>
  <c r="P54" i="2"/>
  <c r="P210" i="2"/>
  <c r="P55" i="2"/>
  <c r="P189" i="2"/>
  <c r="P249" i="2"/>
  <c r="P56" i="2"/>
  <c r="P120" i="2"/>
  <c r="P57" i="2"/>
  <c r="P247" i="2"/>
  <c r="P209" i="2"/>
  <c r="P58" i="2"/>
  <c r="P246" i="2"/>
  <c r="P182" i="2"/>
  <c r="P59" i="2"/>
  <c r="P245" i="2"/>
  <c r="P121" i="2"/>
  <c r="P60" i="2"/>
  <c r="P244" i="2"/>
  <c r="P208" i="2"/>
  <c r="P61" i="2"/>
  <c r="P243" i="2"/>
  <c r="P169" i="2"/>
  <c r="P62" i="2"/>
  <c r="P242" i="2"/>
  <c r="P122" i="2"/>
  <c r="P63" i="2"/>
  <c r="P241" i="2"/>
  <c r="P207" i="2"/>
  <c r="P64" i="2"/>
  <c r="P240" i="2"/>
  <c r="P188" i="2"/>
  <c r="P65" i="2"/>
  <c r="P239" i="2"/>
  <c r="P123" i="2"/>
  <c r="P66" i="2"/>
  <c r="P206" i="2"/>
  <c r="P237" i="2"/>
  <c r="P67" i="2"/>
  <c r="P179" i="2"/>
  <c r="P235" i="2"/>
  <c r="P68" i="2"/>
  <c r="P234" i="2"/>
  <c r="P69" i="2"/>
  <c r="P233" i="2"/>
  <c r="P70" i="2"/>
  <c r="P232" i="2"/>
  <c r="P71" i="2"/>
  <c r="P231" i="2"/>
  <c r="P72" i="2"/>
  <c r="P124" i="2"/>
  <c r="P229" i="2"/>
  <c r="P73" i="2"/>
  <c r="P205" i="2"/>
  <c r="P74" i="2"/>
  <c r="P170" i="2"/>
  <c r="P75" i="2"/>
  <c r="P226" i="2"/>
  <c r="P76" i="2"/>
  <c r="P125" i="2"/>
  <c r="P77" i="2"/>
  <c r="P204" i="2"/>
  <c r="P223" i="2"/>
  <c r="P78" i="2"/>
  <c r="P79" i="2"/>
  <c r="P221" i="2"/>
  <c r="P80" i="2"/>
  <c r="P313" i="2"/>
  <c r="P187" i="2"/>
  <c r="P126" i="2"/>
  <c r="P224" i="2"/>
  <c r="P97" i="2"/>
  <c r="P203" i="2"/>
  <c r="P153" i="2"/>
  <c r="P176" i="2"/>
  <c r="P127" i="2"/>
  <c r="P34" i="2"/>
  <c r="P202" i="2"/>
  <c r="P148" i="2"/>
  <c r="P171" i="2"/>
  <c r="P146" i="2"/>
  <c r="P312" i="2"/>
  <c r="P36" i="2"/>
  <c r="P143" i="2"/>
  <c r="P38" i="2"/>
  <c r="P142" i="2"/>
  <c r="P39" i="2"/>
  <c r="P141" i="2"/>
  <c r="P41" i="2"/>
  <c r="P140" i="2"/>
  <c r="P139" i="2"/>
  <c r="P201" i="2"/>
  <c r="P137" i="2"/>
  <c r="P42" i="2"/>
  <c r="P136" i="2"/>
  <c r="P81" i="2"/>
  <c r="P186" i="2"/>
  <c r="P82" i="2"/>
  <c r="P134" i="2"/>
  <c r="P133" i="2"/>
  <c r="P83" i="2"/>
  <c r="P132" i="2"/>
  <c r="P152" i="2"/>
  <c r="P130" i="2"/>
  <c r="P129" i="2"/>
  <c r="P84" i="2"/>
  <c r="P161" i="2"/>
  <c r="P85" i="2"/>
  <c r="P86" i="2"/>
  <c r="P87" i="2"/>
  <c r="P88" i="2"/>
  <c r="P89" i="2"/>
  <c r="P90" i="2"/>
  <c r="P91" i="2"/>
  <c r="P200" i="2"/>
  <c r="P253" i="2"/>
  <c r="P92" i="2"/>
  <c r="P181" i="2"/>
  <c r="P251" i="2"/>
  <c r="P250" i="2"/>
  <c r="P93" i="2"/>
  <c r="P157" i="2"/>
  <c r="P248" i="2"/>
  <c r="P238" i="2"/>
  <c r="P94" i="2"/>
  <c r="P199" i="2"/>
  <c r="P236" i="2"/>
  <c r="P95" i="2"/>
  <c r="P172" i="2"/>
  <c r="P159" i="2"/>
  <c r="P198" i="2"/>
  <c r="P185" i="2"/>
  <c r="P160" i="2"/>
  <c r="P230" i="2"/>
  <c r="P96" i="2"/>
  <c r="P197" i="2"/>
  <c r="P228" i="2"/>
  <c r="P227" i="2"/>
  <c r="P178" i="2"/>
  <c r="P225" i="2"/>
  <c r="O313" i="2"/>
  <c r="O13" i="2"/>
  <c r="O312" i="2"/>
  <c r="O12" i="2"/>
  <c r="O311" i="2"/>
  <c r="O11" i="2"/>
  <c r="O310" i="2"/>
  <c r="O10" i="2"/>
  <c r="O309" i="2"/>
  <c r="O9" i="2"/>
  <c r="O308" i="2"/>
  <c r="O8" i="2"/>
  <c r="O307" i="2"/>
  <c r="O7" i="2"/>
  <c r="O306" i="2"/>
  <c r="O6" i="2"/>
  <c r="O305" i="2"/>
  <c r="O5" i="2"/>
  <c r="O304" i="2"/>
  <c r="O4" i="2"/>
  <c r="O303" i="2"/>
  <c r="O3" i="2"/>
  <c r="O302" i="2"/>
  <c r="O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22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4" i="2"/>
  <c r="O253" i="2"/>
  <c r="O251" i="2"/>
  <c r="O250" i="2"/>
  <c r="O248" i="2"/>
  <c r="O247" i="2"/>
  <c r="O246" i="2"/>
  <c r="O245" i="2"/>
  <c r="O244" i="2"/>
  <c r="O243" i="2"/>
  <c r="O242" i="2"/>
  <c r="O241" i="2"/>
  <c r="O240" i="2"/>
  <c r="O239" i="2"/>
  <c r="O238" i="2"/>
  <c r="O236" i="2"/>
  <c r="O230" i="2"/>
  <c r="O228" i="2"/>
  <c r="O227" i="2"/>
  <c r="O225" i="2"/>
  <c r="O224" i="2"/>
  <c r="O158" i="2"/>
  <c r="O157" i="2"/>
  <c r="O154" i="2"/>
  <c r="O152" i="2"/>
  <c r="O151" i="2"/>
  <c r="O149" i="2"/>
  <c r="O147" i="2"/>
  <c r="O145" i="2"/>
  <c r="O138" i="2"/>
  <c r="O135" i="2"/>
  <c r="O131" i="2"/>
  <c r="O255" i="2"/>
  <c r="O252" i="2"/>
  <c r="O249" i="2"/>
  <c r="O237" i="2"/>
  <c r="O235" i="2"/>
  <c r="O234" i="2"/>
  <c r="O233" i="2"/>
  <c r="O232" i="2"/>
  <c r="O231" i="2"/>
  <c r="O229" i="2"/>
  <c r="O226" i="2"/>
  <c r="O223" i="2"/>
  <c r="O221" i="2"/>
  <c r="O159" i="2"/>
  <c r="O153" i="2"/>
  <c r="O148" i="2"/>
  <c r="O140" i="2"/>
  <c r="O139" i="2"/>
  <c r="O137" i="2"/>
  <c r="O136" i="2"/>
  <c r="O134" i="2"/>
  <c r="O133" i="2"/>
  <c r="O129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41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6" i="2"/>
  <c r="O155" i="2"/>
  <c r="O150" i="2"/>
  <c r="O146" i="2"/>
  <c r="O144" i="2"/>
  <c r="O143" i="2"/>
  <c r="O142" i="2"/>
  <c r="O141" i="2"/>
  <c r="O132" i="2"/>
  <c r="O130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43" i="2"/>
  <c r="O40" i="2"/>
  <c r="O37" i="2"/>
  <c r="O35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2" i="2"/>
  <c r="O39" i="2"/>
  <c r="O38" i="2"/>
  <c r="O36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Q317" i="2"/>
  <c r="R317" i="2"/>
  <c r="N326" i="2"/>
  <c r="N327" i="2"/>
  <c r="N331" i="2"/>
  <c r="N330" i="2"/>
  <c r="N323" i="2"/>
  <c r="N328" i="2"/>
  <c r="N319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130" i="2"/>
  <c r="N161" i="2"/>
  <c r="N104" i="2"/>
  <c r="N132" i="2"/>
  <c r="N198" i="2"/>
  <c r="N103" i="2"/>
  <c r="N134" i="2"/>
  <c r="N186" i="2"/>
  <c r="N102" i="2"/>
  <c r="N138" i="2"/>
  <c r="N199" i="2"/>
  <c r="N101" i="2"/>
  <c r="N146" i="2"/>
  <c r="N158" i="2"/>
  <c r="N100" i="2"/>
  <c r="N160" i="2"/>
  <c r="N200" i="2"/>
  <c r="N99" i="2"/>
  <c r="N222" i="2"/>
  <c r="N157" i="2"/>
  <c r="N98" i="2"/>
  <c r="N224" i="2"/>
  <c r="N182" i="2"/>
  <c r="N97" i="2"/>
  <c r="N230" i="2"/>
  <c r="N172" i="2"/>
  <c r="N96" i="2"/>
  <c r="N236" i="2"/>
  <c r="N154" i="2"/>
  <c r="N95" i="2"/>
  <c r="N238" i="2"/>
  <c r="N153" i="2"/>
  <c r="N94" i="2"/>
  <c r="N250" i="2"/>
  <c r="N201" i="2"/>
  <c r="N93" i="2"/>
  <c r="N253" i="2"/>
  <c r="N152" i="2"/>
  <c r="N92" i="2"/>
  <c r="N173" i="2"/>
  <c r="N151" i="2"/>
  <c r="N91" i="2"/>
  <c r="N3" i="2"/>
  <c r="N187" i="2"/>
  <c r="N90" i="2"/>
  <c r="N301" i="2"/>
  <c r="N149" i="2"/>
  <c r="N89" i="2"/>
  <c r="N148" i="2"/>
  <c r="N88" i="2"/>
  <c r="N105" i="2"/>
  <c r="N147" i="2"/>
  <c r="N87" i="2"/>
  <c r="N2" i="2"/>
  <c r="N178" i="2"/>
  <c r="N86" i="2"/>
  <c r="N333" i="2"/>
  <c r="N145" i="2"/>
  <c r="N85" i="2"/>
  <c r="N128" i="2"/>
  <c r="N171" i="2"/>
  <c r="N84" i="2"/>
  <c r="N133" i="2"/>
  <c r="N188" i="2"/>
  <c r="N83" i="2"/>
  <c r="N135" i="2"/>
  <c r="N176" i="2"/>
  <c r="N82" i="2"/>
  <c r="N136" i="2"/>
  <c r="N170" i="2"/>
  <c r="N81" i="2"/>
  <c r="N140" i="2"/>
  <c r="N137" i="2"/>
  <c r="N141" i="2"/>
  <c r="N41" i="2"/>
  <c r="N139" i="2"/>
  <c r="N142" i="2"/>
  <c r="N143" i="2"/>
  <c r="N38" i="2"/>
  <c r="N189" i="2"/>
  <c r="N144" i="2"/>
  <c r="N36" i="2"/>
  <c r="N131" i="2"/>
  <c r="N150" i="2"/>
  <c r="N155" i="2"/>
  <c r="N156" i="2"/>
  <c r="N335" i="2"/>
  <c r="N159" i="2"/>
  <c r="N221" i="2"/>
  <c r="N183" i="2"/>
  <c r="N80" i="2"/>
  <c r="N273" i="2"/>
  <c r="N129" i="2"/>
  <c r="N79" i="2"/>
  <c r="N223" i="2"/>
  <c r="N169" i="2"/>
  <c r="N78" i="2"/>
  <c r="N225" i="2"/>
  <c r="N202" i="2"/>
  <c r="N77" i="2"/>
  <c r="N226" i="2"/>
  <c r="N76" i="2"/>
  <c r="N227" i="2"/>
  <c r="N203" i="2"/>
  <c r="N75" i="2"/>
  <c r="N228" i="2"/>
  <c r="N190" i="2"/>
  <c r="N74" i="2"/>
  <c r="N229" i="2"/>
  <c r="N127" i="2"/>
  <c r="N73" i="2"/>
  <c r="N231" i="2"/>
  <c r="N204" i="2"/>
  <c r="N72" i="2"/>
  <c r="N232" i="2"/>
  <c r="N181" i="2"/>
  <c r="N71" i="2"/>
  <c r="N233" i="2"/>
  <c r="N126" i="2"/>
  <c r="N70" i="2"/>
  <c r="N234" i="2"/>
  <c r="N205" i="2"/>
  <c r="N69" i="2"/>
  <c r="N235" i="2"/>
  <c r="N168" i="2"/>
  <c r="N68" i="2"/>
  <c r="N237" i="2"/>
  <c r="N125" i="2"/>
  <c r="N67" i="2"/>
  <c r="N239" i="2"/>
  <c r="N206" i="2"/>
  <c r="N66" i="2"/>
  <c r="N240" i="2"/>
  <c r="N191" i="2"/>
  <c r="N65" i="2"/>
  <c r="N241" i="2"/>
  <c r="N124" i="2"/>
  <c r="N64" i="2"/>
  <c r="N242" i="2"/>
  <c r="N207" i="2"/>
  <c r="N63" i="2"/>
  <c r="N243" i="2"/>
  <c r="N175" i="2"/>
  <c r="N62" i="2"/>
  <c r="N244" i="2"/>
  <c r="N123" i="2"/>
  <c r="N61" i="2"/>
  <c r="N245" i="2"/>
  <c r="N208" i="2"/>
  <c r="N60" i="2"/>
  <c r="N246" i="2"/>
  <c r="N167" i="2"/>
  <c r="N59" i="2"/>
  <c r="N247" i="2"/>
  <c r="N122" i="2"/>
  <c r="N58" i="2"/>
  <c r="N248" i="2"/>
  <c r="N209" i="2"/>
  <c r="N57" i="2"/>
  <c r="N249" i="2"/>
  <c r="N192" i="2"/>
  <c r="N56" i="2"/>
  <c r="N251" i="2"/>
  <c r="N121" i="2"/>
  <c r="N55" i="2"/>
  <c r="N252" i="2"/>
  <c r="N210" i="2"/>
  <c r="N54" i="2"/>
  <c r="N254" i="2"/>
  <c r="N184" i="2"/>
  <c r="N53" i="2"/>
  <c r="N255" i="2"/>
  <c r="N120" i="2"/>
  <c r="N52" i="2"/>
  <c r="N256" i="2"/>
  <c r="N211" i="2"/>
  <c r="N51" i="2"/>
  <c r="N257" i="2"/>
  <c r="N166" i="2"/>
  <c r="N50" i="2"/>
  <c r="N258" i="2"/>
  <c r="N119" i="2"/>
  <c r="N49" i="2"/>
  <c r="N259" i="2"/>
  <c r="N212" i="2"/>
  <c r="N48" i="2"/>
  <c r="N260" i="2"/>
  <c r="N193" i="2"/>
  <c r="N47" i="2"/>
  <c r="N261" i="2"/>
  <c r="N118" i="2"/>
  <c r="N46" i="2"/>
  <c r="N262" i="2"/>
  <c r="N213" i="2"/>
  <c r="N45" i="2"/>
  <c r="N263" i="2"/>
  <c r="N180" i="2"/>
  <c r="N44" i="2"/>
  <c r="N264" i="2"/>
  <c r="N43" i="2"/>
  <c r="N117" i="2"/>
  <c r="N42" i="2"/>
  <c r="N179" i="2"/>
  <c r="N265" i="2"/>
  <c r="N40" i="2"/>
  <c r="N214" i="2"/>
  <c r="N39" i="2"/>
  <c r="N165" i="2"/>
  <c r="N266" i="2"/>
  <c r="N37" i="2"/>
  <c r="N116" i="2"/>
  <c r="N267" i="2"/>
  <c r="N35" i="2"/>
  <c r="N268" i="2"/>
  <c r="N334" i="2"/>
  <c r="N215" i="2"/>
  <c r="N34" i="2"/>
  <c r="N269" i="2"/>
  <c r="N194" i="2"/>
  <c r="N33" i="2"/>
  <c r="N270" i="2"/>
  <c r="N115" i="2"/>
  <c r="N32" i="2"/>
  <c r="N271" i="2"/>
  <c r="N216" i="2"/>
  <c r="N31" i="2"/>
  <c r="N272" i="2"/>
  <c r="N174" i="2"/>
  <c r="N30" i="2"/>
  <c r="N274" i="2"/>
  <c r="N114" i="2"/>
  <c r="N29" i="2"/>
  <c r="N275" i="2"/>
  <c r="N217" i="2"/>
  <c r="N28" i="2"/>
  <c r="N276" i="2"/>
  <c r="N164" i="2"/>
  <c r="N27" i="2"/>
  <c r="N277" i="2"/>
  <c r="N113" i="2"/>
  <c r="N26" i="2"/>
  <c r="N278" i="2"/>
  <c r="N218" i="2"/>
  <c r="N25" i="2"/>
  <c r="N279" i="2"/>
  <c r="N195" i="2"/>
  <c r="N24" i="2"/>
  <c r="N280" i="2"/>
  <c r="N112" i="2"/>
  <c r="N23" i="2"/>
  <c r="N281" i="2"/>
  <c r="N219" i="2"/>
  <c r="N22" i="2"/>
  <c r="N282" i="2"/>
  <c r="N185" i="2"/>
  <c r="N21" i="2"/>
  <c r="N283" i="2"/>
  <c r="N111" i="2"/>
  <c r="N20" i="2"/>
  <c r="N284" i="2"/>
  <c r="N220" i="2"/>
  <c r="N19" i="2"/>
  <c r="N285" i="2"/>
  <c r="N163" i="2"/>
  <c r="N18" i="2"/>
  <c r="N286" i="2"/>
  <c r="N110" i="2"/>
  <c r="N17" i="2"/>
  <c r="N287" i="2"/>
  <c r="N16" i="2"/>
  <c r="N288" i="2"/>
  <c r="N196" i="2"/>
  <c r="N15" i="2"/>
  <c r="N289" i="2"/>
  <c r="N109" i="2"/>
  <c r="N14" i="2"/>
  <c r="N290" i="2"/>
  <c r="N13" i="2"/>
  <c r="N291" i="2"/>
  <c r="N177" i="2"/>
  <c r="N12" i="2"/>
  <c r="N292" i="2"/>
  <c r="N108" i="2"/>
  <c r="N11" i="2"/>
  <c r="N293" i="2"/>
  <c r="N10" i="2"/>
  <c r="N294" i="2"/>
  <c r="N162" i="2"/>
  <c r="N9" i="2"/>
  <c r="N295" i="2"/>
  <c r="N107" i="2"/>
  <c r="N8" i="2"/>
  <c r="N296" i="2"/>
  <c r="N332" i="2"/>
  <c r="N7" i="2"/>
  <c r="N297" i="2"/>
  <c r="N197" i="2"/>
  <c r="N6" i="2"/>
  <c r="N298" i="2"/>
  <c r="N106" i="2"/>
  <c r="N5" i="2"/>
  <c r="N299" i="2"/>
  <c r="N336" i="2"/>
  <c r="N4" i="2"/>
  <c r="N300" i="2"/>
  <c r="Q329" i="2"/>
  <c r="R329" i="2"/>
  <c r="Q325" i="2"/>
  <c r="R325" i="2"/>
  <c r="Q324" i="2"/>
  <c r="R324" i="2"/>
  <c r="R322" i="2"/>
  <c r="Q322" i="2"/>
  <c r="Q321" i="2"/>
  <c r="R321" i="2"/>
  <c r="R320" i="2"/>
  <c r="Q320" i="2"/>
  <c r="R318" i="2"/>
  <c r="Q318" i="2"/>
  <c r="R316" i="2"/>
  <c r="Q316" i="2"/>
  <c r="R315" i="2"/>
  <c r="Q315" i="2"/>
  <c r="R314" i="2"/>
  <c r="Q314" i="2"/>
  <c r="Q326" i="2" l="1"/>
  <c r="R326" i="2"/>
  <c r="Q327" i="2"/>
  <c r="R327" i="2"/>
  <c r="Q331" i="2"/>
  <c r="R331" i="2"/>
  <c r="Q330" i="2"/>
  <c r="R330" i="2"/>
  <c r="Q323" i="2"/>
  <c r="R323" i="2"/>
  <c r="R328" i="2"/>
  <c r="Q328" i="2"/>
  <c r="Q319" i="2"/>
  <c r="R319" i="2"/>
  <c r="Q313" i="2"/>
  <c r="R313" i="2"/>
  <c r="Q312" i="2"/>
  <c r="R312" i="2"/>
  <c r="Q311" i="2"/>
  <c r="R311" i="2"/>
  <c r="Q310" i="2"/>
  <c r="R310" i="2"/>
  <c r="Q309" i="2"/>
  <c r="R309" i="2"/>
  <c r="Q308" i="2"/>
  <c r="R308" i="2"/>
  <c r="Q307" i="2"/>
  <c r="R307" i="2"/>
  <c r="Q306" i="2"/>
  <c r="R306" i="2"/>
  <c r="Q305" i="2"/>
  <c r="R305" i="2"/>
  <c r="Q304" i="2"/>
  <c r="R304" i="2"/>
  <c r="Q303" i="2"/>
  <c r="R303" i="2"/>
  <c r="Q302" i="2"/>
  <c r="R302" i="2"/>
  <c r="Q130" i="2"/>
  <c r="R130" i="2"/>
  <c r="Q161" i="2"/>
  <c r="R161" i="2"/>
  <c r="Q104" i="2"/>
  <c r="R104" i="2"/>
  <c r="Q132" i="2"/>
  <c r="R132" i="2"/>
  <c r="Q198" i="2"/>
  <c r="R198" i="2"/>
  <c r="Q103" i="2"/>
  <c r="R103" i="2"/>
  <c r="Q134" i="2"/>
  <c r="R134" i="2"/>
  <c r="Q186" i="2"/>
  <c r="R186" i="2"/>
  <c r="Q102" i="2"/>
  <c r="R102" i="2"/>
  <c r="Q138" i="2"/>
  <c r="R138" i="2"/>
  <c r="Q199" i="2"/>
  <c r="R199" i="2"/>
  <c r="Q101" i="2"/>
  <c r="R101" i="2"/>
  <c r="R146" i="2"/>
  <c r="Q146" i="2"/>
  <c r="Q158" i="2"/>
  <c r="R158" i="2"/>
  <c r="Q100" i="2"/>
  <c r="R100" i="2"/>
  <c r="Q160" i="2"/>
  <c r="R160" i="2"/>
  <c r="Q200" i="2"/>
  <c r="R200" i="2"/>
  <c r="Q99" i="2"/>
  <c r="R99" i="2"/>
  <c r="R222" i="2"/>
  <c r="Q222" i="2"/>
  <c r="Q157" i="2"/>
  <c r="R157" i="2"/>
  <c r="Q98" i="2"/>
  <c r="R98" i="2"/>
  <c r="R224" i="2"/>
  <c r="Q224" i="2"/>
  <c r="Q182" i="2"/>
  <c r="R182" i="2"/>
  <c r="Q97" i="2"/>
  <c r="R97" i="2"/>
  <c r="R230" i="2"/>
  <c r="Q230" i="2"/>
  <c r="Q172" i="2"/>
  <c r="R172" i="2"/>
  <c r="Q96" i="2"/>
  <c r="R96" i="2"/>
  <c r="R236" i="2"/>
  <c r="Q236" i="2"/>
  <c r="R154" i="2"/>
  <c r="Q154" i="2"/>
  <c r="Q95" i="2"/>
  <c r="R95" i="2"/>
  <c r="R238" i="2"/>
  <c r="Q238" i="2"/>
  <c r="Q153" i="2"/>
  <c r="R153" i="2"/>
  <c r="Q94" i="2"/>
  <c r="R94" i="2"/>
  <c r="R250" i="2"/>
  <c r="Q250" i="2"/>
  <c r="Q201" i="2"/>
  <c r="R201" i="2"/>
  <c r="Q93" i="2"/>
  <c r="R93" i="2"/>
  <c r="Q253" i="2"/>
  <c r="R253" i="2"/>
  <c r="Q152" i="2"/>
  <c r="R152" i="2"/>
  <c r="Q92" i="2"/>
  <c r="R92" i="2"/>
  <c r="Q173" i="2"/>
  <c r="R173" i="2"/>
  <c r="R151" i="2"/>
  <c r="Q151" i="2"/>
  <c r="Q91" i="2"/>
  <c r="R91" i="2"/>
  <c r="Q3" i="2"/>
  <c r="R3" i="2"/>
  <c r="Q187" i="2"/>
  <c r="R187" i="2"/>
  <c r="Q90" i="2"/>
  <c r="R90" i="2"/>
  <c r="Q301" i="2"/>
  <c r="R301" i="2"/>
  <c r="Q149" i="2"/>
  <c r="R149" i="2"/>
  <c r="Q89" i="2"/>
  <c r="R89" i="2"/>
  <c r="Q148" i="2"/>
  <c r="R148" i="2"/>
  <c r="Q88" i="2"/>
  <c r="R88" i="2"/>
  <c r="Q105" i="2"/>
  <c r="R105" i="2"/>
  <c r="Q147" i="2"/>
  <c r="R147" i="2"/>
  <c r="Q87" i="2"/>
  <c r="R87" i="2"/>
  <c r="Q2" i="2"/>
  <c r="R2" i="2"/>
  <c r="C5" i="5"/>
  <c r="E6" i="5"/>
  <c r="E7" i="5"/>
  <c r="C13" i="5"/>
  <c r="D14" i="5"/>
  <c r="C15" i="5"/>
  <c r="D16" i="5"/>
  <c r="E5" i="5"/>
  <c r="C7" i="5"/>
  <c r="B8" i="5"/>
  <c r="D13" i="5"/>
  <c r="E14" i="5"/>
  <c r="C16" i="5"/>
  <c r="B5" i="5"/>
  <c r="C6" i="5"/>
  <c r="D7" i="5"/>
  <c r="B13" i="5"/>
  <c r="C14" i="5"/>
  <c r="D15" i="5"/>
  <c r="D5" i="5"/>
  <c r="B7" i="5"/>
  <c r="D8" i="5"/>
  <c r="B14" i="5"/>
  <c r="E15" i="5"/>
  <c r="B6" i="5"/>
  <c r="E8" i="5"/>
  <c r="D6" i="5"/>
  <c r="C8" i="5"/>
  <c r="E13" i="5"/>
  <c r="B15" i="5"/>
  <c r="B16" i="5"/>
  <c r="E16" i="5"/>
  <c r="Q178" i="2"/>
  <c r="R178" i="2"/>
  <c r="Q86" i="2"/>
  <c r="R86" i="2"/>
  <c r="Q333" i="2"/>
  <c r="R333" i="2"/>
  <c r="R145" i="2"/>
  <c r="Q145" i="2"/>
  <c r="Q85" i="2"/>
  <c r="R85" i="2"/>
  <c r="Q128" i="2"/>
  <c r="R128" i="2"/>
  <c r="Q171" i="2"/>
  <c r="R171" i="2"/>
  <c r="Q84" i="2"/>
  <c r="R84" i="2"/>
  <c r="R133" i="2"/>
  <c r="Q133" i="2"/>
  <c r="Q188" i="2"/>
  <c r="R188" i="2"/>
  <c r="Q83" i="2"/>
  <c r="R83" i="2"/>
  <c r="Q135" i="2"/>
  <c r="R135" i="2"/>
  <c r="Q176" i="2"/>
  <c r="R176" i="2"/>
  <c r="Q82" i="2"/>
  <c r="R82" i="2"/>
  <c r="Q136" i="2"/>
  <c r="R136" i="2"/>
  <c r="Q170" i="2"/>
  <c r="R170" i="2"/>
  <c r="Q81" i="2"/>
  <c r="R81" i="2"/>
  <c r="Q140" i="2"/>
  <c r="R140" i="2"/>
  <c r="R137" i="2"/>
  <c r="Q137" i="2"/>
  <c r="Q141" i="2"/>
  <c r="R141" i="2"/>
  <c r="R41" i="2"/>
  <c r="Q41" i="2"/>
  <c r="Q139" i="2"/>
  <c r="R139" i="2"/>
  <c r="Q142" i="2"/>
  <c r="R142" i="2"/>
  <c r="Q143" i="2"/>
  <c r="R143" i="2"/>
  <c r="R38" i="2"/>
  <c r="Q38" i="2"/>
  <c r="Q189" i="2"/>
  <c r="R189" i="2"/>
  <c r="R144" i="2"/>
  <c r="Q144" i="2"/>
  <c r="R36" i="2"/>
  <c r="Q36" i="2"/>
  <c r="Q131" i="2"/>
  <c r="R131" i="2"/>
  <c r="Q150" i="2"/>
  <c r="R150" i="2"/>
  <c r="R155" i="2"/>
  <c r="Q155" i="2"/>
  <c r="Q156" i="2"/>
  <c r="R156" i="2"/>
  <c r="Q335" i="2"/>
  <c r="R335" i="2"/>
  <c r="Q159" i="2"/>
  <c r="R159" i="2"/>
  <c r="R221" i="2"/>
  <c r="Q221" i="2"/>
  <c r="Q183" i="2"/>
  <c r="R183" i="2"/>
  <c r="Q80" i="2"/>
  <c r="R80" i="2"/>
  <c r="Q273" i="2"/>
  <c r="R273" i="2"/>
  <c r="Q129" i="2"/>
  <c r="R129" i="2"/>
  <c r="Q79" i="2"/>
  <c r="R79" i="2"/>
  <c r="R223" i="2"/>
  <c r="Q223" i="2"/>
  <c r="Q169" i="2"/>
  <c r="R169" i="2"/>
  <c r="Q78" i="2"/>
  <c r="R78" i="2"/>
  <c r="Q225" i="2"/>
  <c r="R225" i="2"/>
  <c r="Q202" i="2"/>
  <c r="R202" i="2"/>
  <c r="Q77" i="2"/>
  <c r="R77" i="2"/>
  <c r="Q226" i="2"/>
  <c r="R226" i="2"/>
  <c r="Q76" i="2"/>
  <c r="R76" i="2"/>
  <c r="Q227" i="2"/>
  <c r="R227" i="2"/>
  <c r="Q203" i="2"/>
  <c r="R203" i="2"/>
  <c r="Q75" i="2"/>
  <c r="R75" i="2"/>
  <c r="Q228" i="2"/>
  <c r="R228" i="2"/>
  <c r="Q190" i="2"/>
  <c r="R190" i="2"/>
  <c r="Q74" i="2"/>
  <c r="R74" i="2"/>
  <c r="R229" i="2"/>
  <c r="Q229" i="2"/>
  <c r="R127" i="2"/>
  <c r="Q127" i="2"/>
  <c r="Q73" i="2"/>
  <c r="R73" i="2"/>
  <c r="Q231" i="2"/>
  <c r="R231" i="2"/>
  <c r="Q204" i="2"/>
  <c r="R204" i="2"/>
  <c r="Q72" i="2"/>
  <c r="R72" i="2"/>
  <c r="Q232" i="2"/>
  <c r="R232" i="2"/>
  <c r="Q181" i="2"/>
  <c r="R181" i="2"/>
  <c r="Q71" i="2"/>
  <c r="R71" i="2"/>
  <c r="Q233" i="2"/>
  <c r="R233" i="2"/>
  <c r="Q126" i="2"/>
  <c r="R126" i="2"/>
  <c r="Q70" i="2"/>
  <c r="R70" i="2"/>
  <c r="Q234" i="2"/>
  <c r="R234" i="2"/>
  <c r="Q205" i="2"/>
  <c r="R205" i="2"/>
  <c r="Q69" i="2"/>
  <c r="R69" i="2"/>
  <c r="R235" i="2"/>
  <c r="Q235" i="2"/>
  <c r="Q168" i="2"/>
  <c r="R168" i="2"/>
  <c r="Q68" i="2"/>
  <c r="R68" i="2"/>
  <c r="Q237" i="2"/>
  <c r="R237" i="2"/>
  <c r="Q125" i="2"/>
  <c r="R125" i="2"/>
  <c r="Q67" i="2"/>
  <c r="R67" i="2"/>
  <c r="Q239" i="2"/>
  <c r="R239" i="2"/>
  <c r="Q206" i="2"/>
  <c r="R206" i="2"/>
  <c r="Q66" i="2"/>
  <c r="R66" i="2"/>
  <c r="Q240" i="2"/>
  <c r="R240" i="2"/>
  <c r="Q191" i="2"/>
  <c r="R191" i="2"/>
  <c r="Q65" i="2"/>
  <c r="R65" i="2"/>
  <c r="Q241" i="2"/>
  <c r="R241" i="2"/>
  <c r="Q124" i="2"/>
  <c r="R124" i="2"/>
  <c r="Q64" i="2"/>
  <c r="R64" i="2"/>
  <c r="Q242" i="2"/>
  <c r="R242" i="2"/>
  <c r="Q207" i="2"/>
  <c r="R207" i="2"/>
  <c r="Q63" i="2"/>
  <c r="R63" i="2"/>
  <c r="Q243" i="2"/>
  <c r="R243" i="2"/>
  <c r="Q175" i="2"/>
  <c r="R175" i="2"/>
  <c r="Q62" i="2"/>
  <c r="R62" i="2"/>
  <c r="Q244" i="2"/>
  <c r="R244" i="2"/>
  <c r="Q123" i="2"/>
  <c r="R123" i="2"/>
  <c r="Q61" i="2"/>
  <c r="R61" i="2"/>
  <c r="Q245" i="2"/>
  <c r="R245" i="2"/>
  <c r="Q208" i="2"/>
  <c r="R208" i="2"/>
  <c r="Q60" i="2"/>
  <c r="R60" i="2"/>
  <c r="Q246" i="2"/>
  <c r="R246" i="2"/>
  <c r="Q167" i="2"/>
  <c r="R167" i="2"/>
  <c r="Q59" i="2"/>
  <c r="R59" i="2"/>
  <c r="Q247" i="2"/>
  <c r="R247" i="2"/>
  <c r="Q122" i="2"/>
  <c r="R122" i="2"/>
  <c r="Q58" i="2"/>
  <c r="R58" i="2"/>
  <c r="Q248" i="2"/>
  <c r="R248" i="2"/>
  <c r="Q209" i="2"/>
  <c r="R209" i="2"/>
  <c r="Q57" i="2"/>
  <c r="R57" i="2"/>
  <c r="R249" i="2"/>
  <c r="Q249" i="2"/>
  <c r="Q192" i="2"/>
  <c r="R192" i="2"/>
  <c r="Q56" i="2"/>
  <c r="R56" i="2"/>
  <c r="Q251" i="2"/>
  <c r="R251" i="2"/>
  <c r="Q121" i="2"/>
  <c r="R121" i="2"/>
  <c r="Q55" i="2"/>
  <c r="R55" i="2"/>
  <c r="R252" i="2"/>
  <c r="Q252" i="2"/>
  <c r="Q210" i="2"/>
  <c r="R210" i="2"/>
  <c r="Q54" i="2"/>
  <c r="R54" i="2"/>
  <c r="Q254" i="2"/>
  <c r="R254" i="2"/>
  <c r="Q184" i="2"/>
  <c r="R184" i="2"/>
  <c r="Q53" i="2"/>
  <c r="R53" i="2"/>
  <c r="Q255" i="2"/>
  <c r="R255" i="2"/>
  <c r="Q120" i="2"/>
  <c r="R120" i="2"/>
  <c r="Q52" i="2"/>
  <c r="R52" i="2"/>
  <c r="Q256" i="2"/>
  <c r="R256" i="2"/>
  <c r="Q211" i="2"/>
  <c r="R211" i="2"/>
  <c r="Q51" i="2"/>
  <c r="R51" i="2"/>
  <c r="Q257" i="2"/>
  <c r="R257" i="2"/>
  <c r="Q166" i="2"/>
  <c r="R166" i="2"/>
  <c r="Q50" i="2"/>
  <c r="R50" i="2"/>
  <c r="Q258" i="2"/>
  <c r="R258" i="2"/>
  <c r="Q119" i="2"/>
  <c r="R119" i="2"/>
  <c r="Q49" i="2"/>
  <c r="R49" i="2"/>
  <c r="Q259" i="2"/>
  <c r="R259" i="2"/>
  <c r="Q212" i="2"/>
  <c r="R212" i="2"/>
  <c r="Q48" i="2"/>
  <c r="R48" i="2"/>
  <c r="Q260" i="2"/>
  <c r="R260" i="2"/>
  <c r="Q193" i="2"/>
  <c r="R193" i="2"/>
  <c r="Q47" i="2"/>
  <c r="R47" i="2"/>
  <c r="Q261" i="2"/>
  <c r="R261" i="2"/>
  <c r="Q118" i="2"/>
  <c r="R118" i="2"/>
  <c r="Q46" i="2"/>
  <c r="R46" i="2"/>
  <c r="Q262" i="2"/>
  <c r="R262" i="2"/>
  <c r="Q213" i="2"/>
  <c r="R213" i="2"/>
  <c r="Q45" i="2"/>
  <c r="R45" i="2"/>
  <c r="Q263" i="2"/>
  <c r="R263" i="2"/>
  <c r="Q180" i="2"/>
  <c r="R180" i="2"/>
  <c r="Q44" i="2"/>
  <c r="R44" i="2"/>
  <c r="Q264" i="2"/>
  <c r="R264" i="2"/>
  <c r="Q43" i="2"/>
  <c r="R43" i="2"/>
  <c r="Q117" i="2"/>
  <c r="R117" i="2"/>
  <c r="Q42" i="2"/>
  <c r="R42" i="2"/>
  <c r="Q179" i="2"/>
  <c r="R179" i="2"/>
  <c r="Q265" i="2"/>
  <c r="R265" i="2"/>
  <c r="R40" i="2"/>
  <c r="Q40" i="2"/>
  <c r="Q214" i="2"/>
  <c r="R214" i="2"/>
  <c r="Q39" i="2"/>
  <c r="R39" i="2"/>
  <c r="Q165" i="2"/>
  <c r="R165" i="2"/>
  <c r="Q266" i="2"/>
  <c r="R266" i="2"/>
  <c r="R37" i="2"/>
  <c r="Q37" i="2"/>
  <c r="Q116" i="2"/>
  <c r="R116" i="2"/>
  <c r="Q267" i="2"/>
  <c r="R267" i="2"/>
  <c r="R35" i="2"/>
  <c r="Q35" i="2"/>
  <c r="Q268" i="2"/>
  <c r="R268" i="2"/>
  <c r="Q334" i="2"/>
  <c r="R334" i="2"/>
  <c r="Q215" i="2"/>
  <c r="R215" i="2"/>
  <c r="Q34" i="2"/>
  <c r="R34" i="2"/>
  <c r="Q269" i="2"/>
  <c r="R269" i="2"/>
  <c r="Q194" i="2"/>
  <c r="R194" i="2"/>
  <c r="Q33" i="2"/>
  <c r="R33" i="2"/>
  <c r="Q270" i="2"/>
  <c r="R270" i="2"/>
  <c r="Q115" i="2"/>
  <c r="R115" i="2"/>
  <c r="Q32" i="2"/>
  <c r="R32" i="2"/>
  <c r="Q271" i="2"/>
  <c r="R271" i="2"/>
  <c r="Q216" i="2"/>
  <c r="R216" i="2"/>
  <c r="Q31" i="2"/>
  <c r="R31" i="2"/>
  <c r="Q272" i="2"/>
  <c r="R272" i="2"/>
  <c r="Q174" i="2"/>
  <c r="R174" i="2"/>
  <c r="Q30" i="2"/>
  <c r="R30" i="2"/>
  <c r="Q274" i="2"/>
  <c r="R274" i="2"/>
  <c r="Q114" i="2"/>
  <c r="R114" i="2"/>
  <c r="Q29" i="2"/>
  <c r="R29" i="2"/>
  <c r="Q275" i="2"/>
  <c r="R275" i="2"/>
  <c r="Q217" i="2"/>
  <c r="R217" i="2"/>
  <c r="Q28" i="2"/>
  <c r="R28" i="2"/>
  <c r="Q276" i="2"/>
  <c r="R276" i="2"/>
  <c r="Q164" i="2"/>
  <c r="R164" i="2"/>
  <c r="Q27" i="2"/>
  <c r="R27" i="2"/>
  <c r="Q277" i="2"/>
  <c r="R277" i="2"/>
  <c r="Q113" i="2"/>
  <c r="R113" i="2"/>
  <c r="Q26" i="2"/>
  <c r="R26" i="2"/>
  <c r="Q278" i="2"/>
  <c r="R278" i="2"/>
  <c r="Q218" i="2"/>
  <c r="R218" i="2"/>
  <c r="Q25" i="2"/>
  <c r="R25" i="2"/>
  <c r="Q279" i="2"/>
  <c r="R279" i="2"/>
  <c r="Q195" i="2"/>
  <c r="R195" i="2"/>
  <c r="Q24" i="2"/>
  <c r="R24" i="2"/>
  <c r="Q280" i="2"/>
  <c r="R280" i="2"/>
  <c r="Q112" i="2"/>
  <c r="R112" i="2"/>
  <c r="Q23" i="2"/>
  <c r="R23" i="2"/>
  <c r="Q281" i="2"/>
  <c r="R281" i="2"/>
  <c r="Q219" i="2"/>
  <c r="R219" i="2"/>
  <c r="Q22" i="2"/>
  <c r="R22" i="2"/>
  <c r="Q282" i="2"/>
  <c r="R282" i="2"/>
  <c r="Q185" i="2"/>
  <c r="R185" i="2"/>
  <c r="Q21" i="2"/>
  <c r="R21" i="2"/>
  <c r="Q283" i="2"/>
  <c r="R283" i="2"/>
  <c r="Q111" i="2"/>
  <c r="R111" i="2"/>
  <c r="Q20" i="2"/>
  <c r="R20" i="2"/>
  <c r="Q284" i="2"/>
  <c r="R284" i="2"/>
  <c r="Q220" i="2"/>
  <c r="R220" i="2"/>
  <c r="Q19" i="2"/>
  <c r="R19" i="2"/>
  <c r="Q285" i="2"/>
  <c r="R285" i="2"/>
  <c r="Q163" i="2"/>
  <c r="R163" i="2"/>
  <c r="Q18" i="2"/>
  <c r="R18" i="2"/>
  <c r="Q286" i="2"/>
  <c r="R286" i="2"/>
  <c r="Q110" i="2"/>
  <c r="R110" i="2"/>
  <c r="Q17" i="2"/>
  <c r="R17" i="2"/>
  <c r="Q287" i="2"/>
  <c r="R287" i="2"/>
  <c r="Q16" i="2"/>
  <c r="R16" i="2"/>
  <c r="Q288" i="2"/>
  <c r="R288" i="2"/>
  <c r="Q196" i="2"/>
  <c r="R196" i="2"/>
  <c r="Q15" i="2"/>
  <c r="R15" i="2"/>
  <c r="Q289" i="2"/>
  <c r="R289" i="2"/>
  <c r="Q109" i="2"/>
  <c r="R109" i="2"/>
  <c r="Q14" i="2"/>
  <c r="R14" i="2"/>
  <c r="Q290" i="2"/>
  <c r="R290" i="2"/>
  <c r="Q13" i="2"/>
  <c r="R13" i="2"/>
  <c r="Q291" i="2"/>
  <c r="R291" i="2"/>
  <c r="Q177" i="2"/>
  <c r="R177" i="2"/>
  <c r="Q12" i="2"/>
  <c r="R12" i="2"/>
  <c r="Q292" i="2"/>
  <c r="R292" i="2"/>
  <c r="Q108" i="2"/>
  <c r="R108" i="2"/>
  <c r="Q11" i="2"/>
  <c r="R11" i="2"/>
  <c r="Q293" i="2"/>
  <c r="R293" i="2"/>
  <c r="Q10" i="2"/>
  <c r="R10" i="2"/>
  <c r="Q294" i="2"/>
  <c r="R294" i="2"/>
  <c r="Q162" i="2"/>
  <c r="R162" i="2"/>
  <c r="Q9" i="2"/>
  <c r="R9" i="2"/>
  <c r="Q295" i="2"/>
  <c r="R295" i="2"/>
  <c r="Q107" i="2"/>
  <c r="R107" i="2"/>
  <c r="Q8" i="2"/>
  <c r="R8" i="2"/>
  <c r="Q296" i="2"/>
  <c r="R296" i="2"/>
  <c r="Q332" i="2"/>
  <c r="R332" i="2"/>
  <c r="Q7" i="2"/>
  <c r="R7" i="2"/>
  <c r="Q297" i="2"/>
  <c r="R297" i="2"/>
  <c r="Q197" i="2"/>
  <c r="R197" i="2"/>
  <c r="Q6" i="2"/>
  <c r="R6" i="2"/>
  <c r="Q298" i="2"/>
  <c r="R298" i="2"/>
  <c r="Q106" i="2"/>
  <c r="R106" i="2"/>
  <c r="Q5" i="2"/>
  <c r="R5" i="2"/>
  <c r="Q299" i="2"/>
  <c r="R299" i="2"/>
  <c r="Q336" i="2"/>
  <c r="R336" i="2"/>
  <c r="Q4" i="2"/>
  <c r="R4" i="2"/>
  <c r="Q300" i="2"/>
  <c r="R300" i="2"/>
  <c r="C7" i="4" l="1"/>
  <c r="C10" i="4"/>
  <c r="B13" i="4"/>
  <c r="C8" i="4"/>
  <c r="B10" i="4"/>
  <c r="C13" i="4"/>
  <c r="B7" i="4"/>
  <c r="C11" i="4"/>
  <c r="C15" i="4"/>
  <c r="B6" i="4"/>
  <c r="C9" i="4"/>
  <c r="B11" i="4"/>
  <c r="B14" i="4"/>
  <c r="C6" i="4"/>
  <c r="B9" i="4"/>
  <c r="B12" i="4"/>
  <c r="C14" i="4"/>
  <c r="B8" i="4"/>
  <c r="C12" i="4"/>
  <c r="B15" i="4"/>
  <c r="B21" i="4"/>
  <c r="C22" i="4"/>
  <c r="C20" i="4"/>
  <c r="B24" i="4"/>
  <c r="B22" i="4"/>
  <c r="B23" i="4"/>
  <c r="B20" i="4"/>
  <c r="C23" i="4"/>
  <c r="C21" i="4"/>
  <c r="C24" i="4"/>
  <c r="H5" i="1"/>
  <c r="K5" i="1"/>
</calcChain>
</file>

<file path=xl/sharedStrings.xml><?xml version="1.0" encoding="utf-8"?>
<sst xmlns="http://schemas.openxmlformats.org/spreadsheetml/2006/main" count="1446" uniqueCount="433">
  <si>
    <t xml:space="preserve">          League of Legends   |   Player Churn Dashboard</t>
  </si>
  <si>
    <t>Low and mid tier ranked players, 335 total.  Churn = engaged in the feature period, then zero ranked games after.</t>
  </si>
  <si>
    <t>PLAYERS</t>
  </si>
  <si>
    <t>CHURN RATE</t>
  </si>
  <si>
    <t>HIGHEST-RISK SEGMENT</t>
  </si>
  <si>
    <t>PLAYERS AT RISK</t>
  </si>
  <si>
    <t>Key signals  &gt;&gt;  churners go 2.6x longer between games, play 26% fewer champions, show flat engagement, yet win at the same rate. Disengagement, not losing.</t>
  </si>
  <si>
    <t>Priority actions</t>
  </si>
  <si>
    <t>At risk  (69 players, 32% churn) - frequent players who went quiet. Win-back offers and a re-engagement nudge. Highest value to save.</t>
  </si>
  <si>
    <t>Dormant  (52 players, 48% churn) - lapsed and low activity. Re-activation campaign with fresh content and return rewards.</t>
  </si>
  <si>
    <t>Promising  (77 players) - recent but narrow. Champion recommendations to widen the pool before they cool off.</t>
  </si>
  <si>
    <t>puuid</t>
  </si>
  <si>
    <t>tier</t>
  </si>
  <si>
    <t>tier_band</t>
  </si>
  <si>
    <t>primary_role</t>
  </si>
  <si>
    <t>churned</t>
  </si>
  <si>
    <t>total_games</t>
  </si>
  <si>
    <t>days_since_last</t>
  </si>
  <si>
    <t>unique_champions</t>
  </si>
  <si>
    <t>games_per_active_day</t>
  </si>
  <si>
    <t>win_rate</t>
  </si>
  <si>
    <t>avg_kda</t>
  </si>
  <si>
    <t>games_trend</t>
  </si>
  <si>
    <t>account_level</t>
  </si>
  <si>
    <t>R_score</t>
  </si>
  <si>
    <t>F_score</t>
  </si>
  <si>
    <t>E_score</t>
  </si>
  <si>
    <t>RFM_total</t>
  </si>
  <si>
    <t>segment</t>
  </si>
  <si>
    <t>-24JAEu70lmkkX8Qy_Ny4MHg4bpJdwGGH89CXFukOpH_gr4BRZSXrxBuiqoxD3seepgJukTLJKervg</t>
  </si>
  <si>
    <t>SILVER</t>
  </si>
  <si>
    <t>low</t>
  </si>
  <si>
    <t>JUNGLE</t>
  </si>
  <si>
    <t>-CeOkEwxJTm2QDCMIwaOQQskaP9wlC1GZURm8mb-OG_sqQE-PLZkGSJSihtKDSnksYVXvp52xv4fEw</t>
  </si>
  <si>
    <t>PLATINUM</t>
  </si>
  <si>
    <t>mid</t>
  </si>
  <si>
    <t>MIDDLE</t>
  </si>
  <si>
    <t>-VV2Sjh__oX37TGsa61RJ40AdtbSRfmxpHtvXbCO0VWHlVMQcCWEN8o1-0Dy296DancFbUPQln32Tg</t>
  </si>
  <si>
    <t>GOLD</t>
  </si>
  <si>
    <t>BOTTOM</t>
  </si>
  <si>
    <t>-o4j_dT_dSSga2Fvb4qFaK33eDzidBRJZzHP35QUWcmCx6cemTWqYmD1wkiv6RNtj6A8KUB75y-bTA</t>
  </si>
  <si>
    <t>UTILITY</t>
  </si>
  <si>
    <t>-qwqSiAIh01OugrmprUbObXnJQwjkGhakHodgxtiMySlEKo-VEDZNFIrGdpgcaeHzu7Qaa8HtMUWxg</t>
  </si>
  <si>
    <t>BRONZE</t>
  </si>
  <si>
    <t>TOP</t>
  </si>
  <si>
    <t>06Su5g4BdYnQP26jFejvLHBDqwzGBVY2ofAFGE9_1cM7nzFKlo_NSr6zlNkaTV4_L0_hD7RdF-vWjA</t>
  </si>
  <si>
    <t>0Rj3nwMeeKMam5RU_PhhVYIjRlk4u-PTvHUuGGzz4Dp6XLkyoo7s24SDA0xUaXmpYYtBRqGwD6PDVw</t>
  </si>
  <si>
    <t>EMERALD</t>
  </si>
  <si>
    <t>0bA7TcSANF24bnvR7IbaqBu7dFR2vPDS3L69QRL_0_UC7AQD1HKQ7TdSAJ08zsZRzJ6Ah2FDNV8NiA</t>
  </si>
  <si>
    <t>0eDZT41o_rxVZnYiHhvZTGWmGiu2qduHaekB1osQ2Thhh1-8hPhi0BNN2YsbwCCo9awPP9qKy6zHzA</t>
  </si>
  <si>
    <t>0lGrX4xw4wnldP0jOiozgIolHCA1kng41g39umtw1SfVNJcGBAvS9kZ-k4t75BJ_jLeZmwQRnTIiBg</t>
  </si>
  <si>
    <t>16el89hlCq8v2aNY0upc-218b3jErjYKRdCsIm2qdwBeOTftD0d3vti1Ejv337thQbBukkqgQLOZwA</t>
  </si>
  <si>
    <t>1rgXhHlwg4eaN6WCV0w9W3WtzUTg0yyKu5iH5IWKbCoqP8hJjFy4NS7SOlqS_xckwv9jyqSawOqo1w</t>
  </si>
  <si>
    <t>25owhyvpLejpwZjTzEvhMcB0ZDqxnwsyzNp_xRnRxFmbALzxLyjEsqmO4gDkzdrNz_cDxDH_JLR63A</t>
  </si>
  <si>
    <t>2EMduwRp5W6zn6oKR6rdGw8PsEG4KAwFl1wo6aWQvHCdlenzYig1_TWlbYWHsTO54R74us8MgPn5dA</t>
  </si>
  <si>
    <t>2n4Kk472scFB7yYtXDR1dEnKQ1bRjxRyQRw-hcodzYJ5MJc0eMQNqOS6koiEhKQNdgcNZu0CA2JqmQ</t>
  </si>
  <si>
    <t>2nGoJE1X0tplEGxXx-ntPtz5LuHBaEII1i4R83LBQNmmT0KOGvN2z_08-D828yEbUFGSlxULc50qnA</t>
  </si>
  <si>
    <t>2siNCxrhsB5NshEE7LEDkSRrDdi5qRmL2xet8M_mjEd8UmGuHHqiKx0JX7hhIZexVxrOqovlvAMdUQ</t>
  </si>
  <si>
    <t>IRON</t>
  </si>
  <si>
    <t>35q27-N2oZspTuttYujFXqfaAeS9ktxx_efvLygvYzgWFWQJcvn4RW2bfttAnTBIEhtyem5oRAzsvQ</t>
  </si>
  <si>
    <t>36mxs5kGISn2QsRDYHDnd91ujOMgCvqnpQbYCjeUV73_ASWgf_-yzZtUQ7s9pl0yeE5SCH3EYJ1QLQ</t>
  </si>
  <si>
    <t>3MMQjms7tR8S6AcKA6DES47gzvTXxVFZn16GWhqjit8tNbkJh8c4EzNh6G5nhdMVzK33Wm74wNpl4A</t>
  </si>
  <si>
    <t>3W2AXCtiI7_A0446KNlnEBQukxMYuH1BgdL5xS91FHO3dRVnAiVeNQOho7_p3WpVo4CR09fz23mN4Q</t>
  </si>
  <si>
    <t>3dajutq7FMLhKA5GN9L76HFFdztkXLioROmbanPkdHhOMXY4Y1uyX2TeuYGWNIBC09LU_arIX3aI_g</t>
  </si>
  <si>
    <t>40F3e6qz-9J1h0-SO_4MbtoJkTHCexj66JHnmwh85WmqAJUxR7NUUPvzUqjEU0kCLYbtaD3rc-e9Vg</t>
  </si>
  <si>
    <t>40dofGXQmc7AaDnWYv84Yz9Tp_n3uMDzlm4c6YNCpkPktG0qMGst_857pQyOqx9XDCOR4hxjhhJs9g</t>
  </si>
  <si>
    <t>4334IyiPRzALtHoew10DNdrDt9e5H7cQF8EWBC_hGoV21nsGXNSDFvvX_gKy34uSst9sTeJu6W8CSw</t>
  </si>
  <si>
    <t>4CwlA3rn07y6yfhKFkEzrbTqeRC2E04E8dg83bKQq9FvD6e_tcCSaTdYfu3nt0vFprLQBbpdVWqRSA</t>
  </si>
  <si>
    <t>4M_y1M4yRBZ7mYVHrHv6UISZS2QQIjy3rNpOdbb7dFhPhIwSbIciVfHLiGlRQ1MAzykQiqWriAtYZA</t>
  </si>
  <si>
    <t>4dtp1ngnRAYruoplaPaZ1Z0FSILu_-GrB16eWyHi6s_xdmv-Z9mOQrjH-3d6hVvuAU_ygdEec_6nmQ</t>
  </si>
  <si>
    <t>4wpCaIPGIST3pIO0WwqU0Up0vIA5R-4YncKowSss1ox-0IBqxrvU-J8njWxZOu5B1Y1xJCFqEaHGXA</t>
  </si>
  <si>
    <t>5ZI5QDcnaPS3BDiBmOWYsl9hnLrcLePfPzTB0Mvu1xdepfJOLjYSg25UZb8eDBjq3oFLjKRNr6D7FA</t>
  </si>
  <si>
    <t>5dGoTZjozOfnqaYOBKQhvpXsxx58aIeAuPjLcYfat5DwJCnXnS9RvXpVYtL9cl6rNfU7t5RJ_8vnGg</t>
  </si>
  <si>
    <t>5hWG2Xuj9cPpXyBvC2MwDv5CNqONacy1RLJSYZ0wAV771FU8wRvRf0TkSD0wKZkfBbQYUqw_2byM9Q</t>
  </si>
  <si>
    <t>5wf9_omnEvW8qsJ4l3LdMZHFcZkCh0GnqZjgoBYQwq3aj8mlT0fenyC3XWeKlXol06w_2zX43Dp-WA</t>
  </si>
  <si>
    <t>5wxfiiT1OfCmG7AhNrPFscPZDI9d7aWN8N8YObOzC3hqmeUYH3kzlME0Ux-j8kK1YOXwBAXa4apukw</t>
  </si>
  <si>
    <t>62VpXYh0UYwdSm0LL1RQaaxH4LUCwA8Bz6OpOvppDERqwBXPIY-7iFdB90AIu6jT711sT070eGjebg</t>
  </si>
  <si>
    <t>6517IdmOskjzddTtNAsuB9c6sML2eyd6HhtZJSPKxK02D9QxU3_YquTbb_93CE1Ho0Ofq9r7SX3quA</t>
  </si>
  <si>
    <t>6bteW65W81UJT2n9sEjsoicIPxtETyToqKikatDtl1aJ3IjTEM0aA-8ctR-OpiIsf1X1SD8e8S5BUQ</t>
  </si>
  <si>
    <t>6lotMTZCUminPvf9kirvffxWjQRxDuLaEcmUsAI8yKqBp5krlLQdO2l_dR1eZmmMSUEi5wCza3SnoA</t>
  </si>
  <si>
    <t>7BZXM8XwpyMPm6uV2WMmNzr38EB-Mqkf2Y-6b-d3pM9wvd2cHonOtCRs5w8-8fAGCM6siKgXDYqacw</t>
  </si>
  <si>
    <t>7kvZw83ihq6_k5_MNaEWCXMzp-bRd0JvVd2sPjJuUo5kBaNcKSEof1cid6fS1BEmvp7c-VrqRpNECw</t>
  </si>
  <si>
    <t>7mHqYrKvmh0xUu583fp930d5Y-5M_dMKbZDmC4-YKUe_odMM4LDXKBAPur6Hhg-1TBEMSCXh5LA5gQ</t>
  </si>
  <si>
    <t>81FXBcIVKSPpc5HyqN34a6sl6L2eSdX3r2C58P-5K57U6SwsE8Q9kIb_LWUjg53nu85WfSO8wv6otA</t>
  </si>
  <si>
    <t>85v5SMKTCx_ZjaWlzXmpX-U14EIcZPkgay-CYjHuNh5LRB1MWgTHsW52CplkyDsZJi_6U6cis9AtBg</t>
  </si>
  <si>
    <t>89eTAgJSpqTOLiROlXadoGYbujbquPyrgQ641V2uEfzWSc1uenHrvyzsVz9zHUtvPmHJzvRl_HfcEA</t>
  </si>
  <si>
    <t>8EWbuiOT10O9i25XHPJ1H9OdoP-zPudYbM7CDvS_87WLrbv3uSRzLO8KdVZzWuosv8cDGxN9Pyv0aQ</t>
  </si>
  <si>
    <t>8LYDTknNdESowSxy-Cn0Yi0qDsYGbxVO8tbtdaq3CVRubKjVJ1SUtn3HBOV3ZTFrKEARkK4aCmWf6Q</t>
  </si>
  <si>
    <t>8aolqN11pW-CpW7o2M-ic02pE2Cza9KeiLRYHt_1EtvuDqGT2i55zmniqWSKXrDrNN4W-BF9N0Z2ow</t>
  </si>
  <si>
    <t>8dgypWuKrO4sCnOy2_C2dlejsM9PsXSMroZX2saf3oxt8HNN0QcXBEQ-3NWUy93FlLm3PStwKOsuHg</t>
  </si>
  <si>
    <t>8ft1nx9lKjvaWmY0Wcuf9HYqJsVh2D4kOiMHKTIwD7rTzvVLzgQ6i3_Dw4_dgl6KYuiu8PoPVOobFg</t>
  </si>
  <si>
    <t>8jZai8gp1zWQ_xBFo7ZkT8Hx1csNrhAaW4YW3EkEfh7OgLwGVsToaPwr5M8Fe9xnMFJv0kLx0oV_dg</t>
  </si>
  <si>
    <t>8ndWN8ESNSJ22Embnbw7uH6qMu-NVm6fBVF4puMqtle4pwKp-ApUz7z5g4TzB5CFjtQIgm8Nrk0Wzg</t>
  </si>
  <si>
    <t>8sm-DGyfQEGvUkZl_ccJso26C1RJ0ZErb3bg1PeAPgdCSzhOMlmVzj095YBz3IBeitJi2NKhS6GXCw</t>
  </si>
  <si>
    <t>9ejU0O-xmGS46q5o8hSy9akV701wxGNWX4UahrRa2KjoIg74NtQidC4LKHwsKvIkrrt5-9C9xlrVPw</t>
  </si>
  <si>
    <t>9gdkarRznTwSdPZjNvEIfDc4A8b324k-OlQWaK8JujHAVS67y03e84778L60ECAmrvBTHoqC-dV9-w</t>
  </si>
  <si>
    <t>9vRK1DZ2ZT2DzJLcXAz1Edq6yXbDaMW6xuaqD8fGfXiUfMdOlqqZwUbybG1B33TfUbWFuHXGFlzNDQ</t>
  </si>
  <si>
    <t>A6N0F4cih-H23MepUnCAxyAfRV5uD3l9I6eWVql2cS5H9wIvcD5pEKiUB_5KjXlo3izJBhjz4AzcEg</t>
  </si>
  <si>
    <t>AK6Is-UDDg8xhigW0ZwOLYGUPAe8DN_sSlUXkHctnQfOn2uF537eQaiqqGDKwo-4-S8YpKh2WJ7UkA</t>
  </si>
  <si>
    <t>AWsvhLntVWMSBwAPMiZGcP_MPmndRGIqNOtcwpFwhlxF0NvyyldnWMQvd2NEJrBXHyyCJk2_oXiKFg</t>
  </si>
  <si>
    <t>AlyJRqvzMLNS7gu6TfaIXhUPFCs4IFfAdmcv1Q36tGJ9F5QFDvFaPROEWiKfKIVI-nzLm2kqi0N6sw</t>
  </si>
  <si>
    <t>BBNVyN00e4lN9U8IPKWiVbp8PWoBJIHky9faEerjzFGvfYP1szD55mVk-irSN3o-9cLBqGIZQqrDdQ</t>
  </si>
  <si>
    <t>BMNR0WRVUMDrwCGI4APQpuxkAiNjGQMrXjdMw_YZjkm9E75qXAeXAXGERxEyMR39gBSSaYcUehI_gQ</t>
  </si>
  <si>
    <t>BaF3uTqgbklRl-RhKtcp8RGvfcZv-1DjZyPfx9Svfyy0qgSfeDyx80xaTtiI8nUPMFJx1mMk6jDGSg</t>
  </si>
  <si>
    <t>BpcarGyjhwU2sqMjLdwuSEYDhF2f60YxXjXkiwG9JDSbGMqHracrJCpMdxsy0wBY9nwGHesX4DRKbA</t>
  </si>
  <si>
    <t>BzhGTuPjvX5tzCB2jjAzlA31lYghdHoeJ-KHEL7nkz-4uWphpgVWGVfjm_ZpBqjs42IqJrZtrwbwHw</t>
  </si>
  <si>
    <t>CMpEpH5drPlFm3WnF4cH1_3eMhIv4Xdl0amUAn3Ya1nUhOu8V0n2LpXyTWgEKkXhfrbIzwFDn7qkww</t>
  </si>
  <si>
    <t>CZ1MIptsghbZ1_8p-tV1PQ8E5R9KVJqMWH2KYgLEphW5jfv39N4WXNFWUwkyzPC9Ca-0ns2msx1YDg</t>
  </si>
  <si>
    <t>Cf7x72e1RT5Bj8m2tjpcsNW-1BYSMegouchDcDEnbeR8rmZYTcO3YqXfrT_W_nZKXMfKt_j2J79SkQ</t>
  </si>
  <si>
    <t>DBE_yoU1OmetfsXOWZYoV4QyLaQOVfDl9RmHWu1gFW4Z8OijngrfMw848DnKfIqwycATUuFHKuufRw</t>
  </si>
  <si>
    <t>DOSCS_WyCEuz9jsF5LnMDdlONDkL9sw2uKg1yOqxp1fxYnQdF-NiKbUH05L3qy1mSQfqI_EkJmZRhg</t>
  </si>
  <si>
    <t>DQI8pQCqtgW-7OxdNDvkyP9Ku7sGrT1fsVxSr65QPzVEdOqKK7Q208pb6fzShObyxk4s3DOQyMEohg</t>
  </si>
  <si>
    <t>DXvON7pizVY4YaemY9a7noUKCRG36e8mAgZVEjJO92QjTUGnMIj4aipb6trFyOYJhRqZkT4FWd2XIA</t>
  </si>
  <si>
    <t>DusQe1ojZ6bR3k_AohJCPRwRtRHuZuOytYgkJRJSIKK9tJjB1Ft61-ei3VVnE9UWyaIf6LbKP-ZJTg</t>
  </si>
  <si>
    <t>ENSwbKb6tsEMjN62rdjMt0GRfdj3NJ25FQKYdcx8QcN0pqzZbAU63ivoH0uCTJegdFJQiaKpX3fzCQ</t>
  </si>
  <si>
    <t>Eiqy70jihZea5lKMI9qaXKu6u9z9K1FetalVp52TgjPdxOaWZGvI1bq4iZX1AWoNpbA9bXYAvkdL7w</t>
  </si>
  <si>
    <t>F5M7c5e3etDz_dn2n3DMOSFslcZRvQyEC4SmXn_sI17kytTqLTzXmRTh2tFgJxC1el3xvJRqctDIFg</t>
  </si>
  <si>
    <t>FhHUgNQZNBuX6sZ_93lv5nS4tQUHmbTWcBEt0kKKUV7TN-EaNc9sbziuUm2RTaC7MU8yhfaQc0QVRg</t>
  </si>
  <si>
    <t>FlW7kNAgilhubnh0Qqd1p3KRZjKYi-HwqAbVjpp9kpZBKEGNoukgsDyngWBlbyXJByc4DJmkeYHDAg</t>
  </si>
  <si>
    <t>FrAyANmV_EyaVMASmm1rQHrDLhWyII8Rq3z8HRhwM7z_qf8wmxj26AOZHCmDlx92WxvuJ9OnDEjwWQ</t>
  </si>
  <si>
    <t>GENRcppm3qYaAkWbG5yhMDxJHy5-S9UNnblnmYK2rn-XjTbCnxzYMLkLc6pLXeWpjGw2MBlZ_qFjdg</t>
  </si>
  <si>
    <t>GSKF2rLyORAbfweVb8OUHxXoWNlV8JaGfom22-_qjm19g_Um8yA4-HeQ_T_xRqfF-fx1wxyvOoUamQ</t>
  </si>
  <si>
    <t>GaVoWJLlk843WGv9HROwnjXfJVZ_8G-UAuiuoB7Z1_Nqb90YtZrGEMQyIF9l2Faflxni_jMzLKrnnw</t>
  </si>
  <si>
    <t>GeRr8PcdyHYuWcF1-oJTqn140iUM7ijnmr7RwO0TP9UiIiz6ZpBXOby17akENaW8Bsy8A0h-xEWQ8w</t>
  </si>
  <si>
    <t>GglJGoE1R8LXBRLWnOjNVqSW9U2Z5V4Kw8TdUGJsp1MuuX708JM3pw6oO-N4v2kfvvVXI_ghi94w3w</t>
  </si>
  <si>
    <t>H2l_iD_6-wRHvEVAbMRxgoy2tQGrGWzW59bjexwqEehbw2ZWxzhaq8-YmR_CiqmE7kx1CYqgi9ub5Q</t>
  </si>
  <si>
    <t>HE-FEqrnxL-PeVa-5XrVq-ez7Hu-AaEAttrL9zgyqgf1hNG8uReNahCJ4PfJG8cmEINqNUasKebx5A</t>
  </si>
  <si>
    <t>HFOxTqaEaUTXlzvyNpp4wty_dW8VL6apz1XYqtV5l6raoQ8tRqkY2gGjrbCzHI6jk4_x-uX8if3X8A</t>
  </si>
  <si>
    <t>HcD_MqfdU7bscwBmJ_VICk7oIINaIkWx3j37DU7Ak8Uk6KepsRhYwNoIECBNbD_4R1t3YER4sOkPLg</t>
  </si>
  <si>
    <t>HchliuPdyiMEzJOF0u1jxVEgBcBRzEqbQlhplvVJutQWb_yqZPi4tCjZzF5_oJtlv0sBwEGvatptsw</t>
  </si>
  <si>
    <t>HrNgHOWjnCR1cTC0ZhloSMZIk9Nw8lB7EaFrKfFCwoi1r5_ZXiDEti5he-m7Gj7BP4rQlejqvhuzTg</t>
  </si>
  <si>
    <t>HxDR_IXXeHdN4Chw_aN0OhARRMqVUG6O9lwbKAQPUS3OPvG-erMYdNjiCSAgM_hy4h-O-95KDBFKgw</t>
  </si>
  <si>
    <t>Hz5o1tAfuKUYISrvogyRQKq2wDBf03fk_IwXHyakT8t56Bb9CRnP2SXqQVK-O6-KCjp3bt1csjXrhA</t>
  </si>
  <si>
    <t>I3MgIKRZEcTxjt-u6zeWMSmNqrywxLHldcmT3zvyWrbF7PDBbqa0aVHsOTK4MekxN4oMf79W_T2M5g</t>
  </si>
  <si>
    <t>IChWe0g1ubuGjSSkO_DLW49EvaOFcOrZSZZcp3XsAVjvkvNfcbz4zZTK12EsgzN6uIujzLeIrfRyKw</t>
  </si>
  <si>
    <t>IEz9QX6IkZly6QI4nxeRM0BBXYRT3dJ-GLHUw6TXgWhkADZasK2KOU5S29Y5tadrZ64kgmuj8bFIGg</t>
  </si>
  <si>
    <t>IR3PsAp0_ZjC7_yAJub8aj9UDMW6_3iBdU1_b_RpuiJnc6yYGEziC8BsEdogRKCQ5sHaQ0JG_JCrNA</t>
  </si>
  <si>
    <t>IZRxihBlBJMVql0dEZIM_0sc9tP0ss5QlktkDZBe76R2hlkTipBlHi-fQvjpASPt_kstVqrYXAZy0Q</t>
  </si>
  <si>
    <t>IcjMD32Yw39FvCRp5RSA4DVae6RHnpSAGHFUkbN2l3cwS5Ntnfd4EZWwMWq1EDM--xDNdKKLKPPOgw</t>
  </si>
  <si>
    <t>Ifia1cBfSbMadJlLsmWNegVO6eojNKEW8sEq3a_AwNfuMfJMn09vZOrfmy5J4W7uWAjbgJOuOENx2g</t>
  </si>
  <si>
    <t>Io1agi_241mx83lwdqxmMHAO4ZmQWuWhi-ifBZZPrRIxFBpdAZhb01LfaULL_EH8l21FkioJHwSd2g</t>
  </si>
  <si>
    <t>J8jUifSZKb6tZT1pc6ngc1tswz3maCy9cWR-Chs_ecgfDSkSDtk3Pe0aU2XhyZFIkqvJO7eZXJgyVw</t>
  </si>
  <si>
    <t>JTC89sOrCuUxo1y3yRHvHPewVFjhjw6l2kRsppiZt-UbYnoYlSE5lL9RdvupeaOqOQz53cYMUVfUQQ</t>
  </si>
  <si>
    <t>JVlBUv2i_9XNhVKyAM2Mrddn6efo65z1ZNf1jAv7BhK2Bj9l-4dGv_sZjZno9qUund0zJ6H8NWGreQ</t>
  </si>
  <si>
    <t>Jjjkhte632BGqTj9se5eW4dDa-wiDyvpwEGmSh3_SkT4On7KvNbJfvznhr3SsF2a285PXWZFwJ0rFw</t>
  </si>
  <si>
    <t>JmQWUtQnStoFf5fOc2q-RvASngdbhZs_jcHE28U_rdJ5vAYrWNZgtQiYQJ1vUaJnR2iOtfV51yCyEA</t>
  </si>
  <si>
    <t>K6xAd2OZ1R8OX1b1qd_K633ZO74l0PCi5tKrgGPszY44vRhClAJGhcpg4h71SHVKPWyeh8RXxPM0kA</t>
  </si>
  <si>
    <t>K8ihT99iF050U24BHcO9WVTl3HqIYM8Ttnbo24BX_ajZcZ22ntqQwdWvakqrwJDCoEszU5ijBq6fsw</t>
  </si>
  <si>
    <t>Kfs4XUvQVZUkxh1xy617rYCz8KXcKXUYSJZTQsV2tP2J5h2TJKoqKBkNLWQntbGF6zqXI5OAylwGzQ</t>
  </si>
  <si>
    <t>LX8sBAJW7F0EJwHdFrcz2mcCNMVzKVmO54dTWu908e-wVpvbQmTPhocIVe-Yz7r8CHNXpIfHPAs5XQ</t>
  </si>
  <si>
    <t>LvxZmO6k53liNhqgDhE-Yv-oXM3FXklsAu5zi9TY_HGTJGlG4zGKAFi32Dfsi1mWN7u5HkyL_WqIvA</t>
  </si>
  <si>
    <t>Lyt8yopHZOWXsuWTmtuaeJ5Zv3dj4V6Uz7VxBDxcZMHNP9hnIsbyh_FTTus_vHvrG58bJR0vLEA-tg</t>
  </si>
  <si>
    <t>MBM6cvawA1yq9VqSpSCcyJidvZgu2Z8cmCS-Din3krSy9ta9d69ZuIqRqvo0jvWh3i20UNi_xWiAXQ</t>
  </si>
  <si>
    <t>MO7BIbiWlZBf1sOin6b1OjmSlEYRbL3MVjrb6FEBUV-vF3hiVm8vqHeCeR5Ks80VdiD1Rb3l2TqznQ</t>
  </si>
  <si>
    <t>MPgdZkAj9W9r80BzT7ESX6O_hABBYB6NwCf6dRCU-DORBQJZMgalaqhcRd49aaRitHx6at-ixfmEug</t>
  </si>
  <si>
    <t>MUMwVvRjsA1EWPLEVkPdX8fqe0KjJKvYqJ3I2ssv37zyO0ZDdqO52nZMZ8ZHqytVH1oe_eWnVZ_LMA</t>
  </si>
  <si>
    <t>Mj-KixeDcd1U8RDq3bkhESjQrVuo0zXypXfc8Ap3zR0EYnVb3x8uFIHshkKDhKVHka74SU2zYeBcyQ</t>
  </si>
  <si>
    <t>NUPdUpVAtHCi3fa17FAO3rnd8hFRaM_BRPEhJRjXi_EkeqigZhKGMiM6TXMwLYYQLDcB8JvzWrvQUA</t>
  </si>
  <si>
    <t>N_CI2vGlIVbRVkQhT0hsgbpphZ7s4nXDCo6iK28QLzG5n9QZVM9zfHtNkFxCHVbdYbsLFVF42bw-YA</t>
  </si>
  <si>
    <t>OAbrcOsy5na-UF08CP8sj-6kAjr-krU8_PBzhC8FfsbFTslcEf8PXmP1gpJNM1o2JDKLEnAzw9t9CA</t>
  </si>
  <si>
    <t>OFf5Y-Lm-qjBp3u5ZFqQTdJCD0SZ8T5A9WDWPM8oAgNBlysxph9GPsixOFuVg2LOWrSNs2TVHRQh9g</t>
  </si>
  <si>
    <t>OJqx8sTaMkHq8yWJ2qFw4tZCQTyq44wi4xEOTeECHPgE2JZXkHqjzc2h9qrhE39X7_jfnll0zX5gCA</t>
  </si>
  <si>
    <t>OTvUZ88VF7MmHYP7jWKpB1vAqDbODvsaM7IJf39wgepaJtTxg9k_vUkb3Cqpp22iKUGbC1CSJ0e7MQ</t>
  </si>
  <si>
    <t>OYndNOjIsvUDt47G3I8A8CTGno7B0m29s50ez65jceV2q1A9eYmy9U2v9spMCWoPUiQ8qS1s99U1JA</t>
  </si>
  <si>
    <t>OfS6jzF09kIUtImZ_8N-xDj3nbvVqrfxqaybxOBlxyawoDF5jRxfJu09OPUeVBsbo0-lDd3NKnieSA</t>
  </si>
  <si>
    <t>P5MX0JQ5TxTv9nJLp1CCbNRW06Ns1bKtXu5P06JlnF8cFGi1i7LZ8DmVIORt-FhCN_ZMXaPDOaprgA</t>
  </si>
  <si>
    <t>P7WNYE_Z7C_KjjlemDu8Tl8dVphNKMVFdjBQU3XLv3ZQ0rhYXpI6dT2fNcZCK1y2aiO5zoqJgpVhwg</t>
  </si>
  <si>
    <t>P8VqqT68CYSvmmgs33hl0N5ELXagVy9XfibaIbYE6W80HbYuMoCG5ThFfWrgF_qcN3giP4K-NpJd3w</t>
  </si>
  <si>
    <t>PDTs17xQl1o_yu0gGHYXNzBXP5YrMHOujAcc7ErEmkfxVodvoIpdpMnLA3xMn36MsU-rkP3yZQF3Aw</t>
  </si>
  <si>
    <t>PUeSswMcP1QBMDKbblPlZg7IrlZ0p-z8BWeAF-Z3yAx_zcpqSRNtW07hs10l24UuPc9t9BRoyeJe8w</t>
  </si>
  <si>
    <t>PVA8pQhirGyUR6phhCG63-Pr08aZFH43vJkaByHW2Vge6RS8vI0BzkrfPErjMgF3ZNVZHHOJUx1sTA</t>
  </si>
  <si>
    <t>PWN7ZIwLtahrj9W8_GUluKNaj7O_2cohDDrMnfmJMhiZb1eOZj3B2FGKDEzDvid-4EH91m9JEd_j8w</t>
  </si>
  <si>
    <t>PWj6GslfE_vQlf8OdranLIqGq5U6SFRIyTImfAqGkhp1VNciRihtfwA-txiNrXGD8kglAJMA2TtUCQ</t>
  </si>
  <si>
    <t>Q1d2MPxx4vJmEs9GGvcgwpi6gqMkZJkay0YFNGXBr69857I3HFANleN4d57fvBf2z7oyIqit1QJAGg</t>
  </si>
  <si>
    <t>Q5h6bpQkrbo4j9deuItYBs8cEGFkEbbQCHwo03Lt5rJyoR0lh4-RfGCjB-8C0HnLlkVuo5D_Aneb3g</t>
  </si>
  <si>
    <t>Qb_wJdIkP8dXiQaWmXeoOHK0SuMZXDQqGX4NwqGV_ZQosWVUrJM4DXngpNSveyCdGyyeikNnoju_3w</t>
  </si>
  <si>
    <t>QoxhcGjgY0wq4cotlFYBOLMug6s1FrkxJT6CNb-Xf85xqScH8HDH5tc2Kc2dUQ-shmwaE5WC9dO5Fg</t>
  </si>
  <si>
    <t>Qvf1ncSSLiIVkVeZtL3NOZg7wbIVdXinz_-ggZMyL8pK60_lCe6DpFXHTQzkEtxWvYijzOG_V_aXeQ</t>
  </si>
  <si>
    <t>RAtnzN-nr4DP2rOP08Lg__YqAnGB4Y9mE4Yzy6zkyFDUkcRvVTEvZ8c3nUlCg0PYn2efhOIHr2lvOg</t>
  </si>
  <si>
    <t>RUOn5L0_xpXxtfs3-Cgd-g0GWSrgHA6NXHRrexWJlE84LQTve97fpmyzIlehkI39qLakYYP3MnoqBw</t>
  </si>
  <si>
    <t>RUhrPov4ZA0HhgZSi226QlEi6s8tKIeiMuWHdFa4HxHsEVM0mP_p2GcuBCR3YGUleDT8r7ClleKQOg</t>
  </si>
  <si>
    <t>RrCy7KcfAIEhmw-rNl6KKkMiF1OJcYqGHXX1bdKokQKDlBdPqFmADlCgj7gP2T-TZx_C-dbr6jIwng</t>
  </si>
  <si>
    <t>S0xAMJ1qA__gA-w9VkNqUjkRaYKnao57Kaps2Z9p6lsCynazjisgPlaO1ekU2AFC_qMjpuOhJaNeuw</t>
  </si>
  <si>
    <t>S9VHJcFQ7JJqbEPr8gdsdJUqTa6ajE1CPPWjsadBrnLO95iHNlqX8z_SKpKDlcCj_66eA8QkNgipSA</t>
  </si>
  <si>
    <t>SSSBxDDmlEk6ToWsiqQzYeULcNHJiF9ybb9Vb2i2BfwZKuG54-2PZ9W5t97V7kRT9yZ4YXD-K_aMTQ</t>
  </si>
  <si>
    <t>Sk4wBvZ3WBJZgfRgzXq8Zor-wA-fcmATe6vNc9MX68YN2To9jVj2U_i0yGXTasKIMXdIjWbk3A49IQ</t>
  </si>
  <si>
    <t>SutWyngcKsj9rTsaVFYFQyUNBXTZRC9yuBoX_qbEMPz2DMACgFCihUjLFMWkfzt4K2aAZZpCXfgvlQ</t>
  </si>
  <si>
    <t>T1HOVU6b1BVrbnT4FAIjBwCUGsZD-_p1tFSWsxjad337hA9j97zW4JKQgAhjEr9EJzCLPB0fZ4FfuQ</t>
  </si>
  <si>
    <t>T5nV-H87fCh_LUGwtU_QRgHFR5Vqgmi-iMvgopSdtwM5ORQUCi1BLYe940g5zOsu_EjpKsQ1TlAuSQ</t>
  </si>
  <si>
    <t>T7HQ9Iap-LBAq59_tcBtmTN0fj0JttUo0cGij1WDgd-0Za9Avg8VgVPI3fFdrqMcGW0-0nLF0iSZUg</t>
  </si>
  <si>
    <t>TLKPklKhpGIAtbiuWB0n6VIVgl3Svqc6El5D5ISWH2DyH9gjH81sDiQufnP1p4HZ2L3P_TvI3ZgC7w</t>
  </si>
  <si>
    <t>TLlKdRAKY1TTRPHaMX1VtvVBB_IsfCZgSlkzRUCkED8lckH2LXFTbnPQwJ0OsYW5N5CrQgrdQtvFag</t>
  </si>
  <si>
    <t>TRLrR61bAded5eYlXCsOjGkLtUbYjOCHTPmcMWZk46wj4p-__vZVlbsDCmkXJytBWXevHQ7X3aUACg</t>
  </si>
  <si>
    <t>Thq5EFp3XOY0qrttAxrSwLlKO8kPgWZNPxYXJCwMFkaQDJuN_hjv1JDwvB6liJo_oGaCAh3-nqMBKg</t>
  </si>
  <si>
    <t>TovLh29sDbaiWDPjBhbF9cydHw8JDDjNt6OxpZ5PqDaJE-2nU4m68h_DdteTp70WJme2A0HgasG6gQ</t>
  </si>
  <si>
    <t>U-u6ys4HcrDbJ2DqaufuCKhdeG3YzMfISS0CxMAV27r0k8mU2nzkbxuj48ayyH0mjgfQU4N5j7Pw8w</t>
  </si>
  <si>
    <t>U9r1VG9649qaLEJQ9kb3aAVoV5Gp-dODySrgOhSR4HrqC4XyG6TXnDxm3qS5jIqjS9Q4k_B90UknZw</t>
  </si>
  <si>
    <t>UHd_DesxyLPnOcNf67tY7ZivUahFwoCZO9ZyUYvOTzkswFbhg7NxcNGoNTh3gfwgoBbjkg6b8dhz4Q</t>
  </si>
  <si>
    <t>Uk4g6Bm6qYNObulG0cnW6PSBIYzXV51uM8OlCZpEqDTwfDl5jV2ctnb3D9WstMKt-oNtiPsJt2EPhw</t>
  </si>
  <si>
    <t>UreuvHduLrjqcNCkrDvMAofbXU6E2qrC_JoJQDYt3VMb-OgUpPPJNwtSK_60LiwHMmtX9YwRzy4jRA</t>
  </si>
  <si>
    <t>Us4Ktak6TDopkMrjwcph8qys8zsutCpTzzPVxrrR7o9GXnCyLz7ZXS1LCK_CrA0mM5IjuPOdZT70Xg</t>
  </si>
  <si>
    <t>Uw1Z6VyxwJwoZ3s67Mh0B19XLxkDiImGMV0auLNls8npSP6qLNyoJDirayU3zoKBeZiMCgGzu4GSAg</t>
  </si>
  <si>
    <t>V7besHxndnyw-Vwud4OjR78MiWai5ToqQ8MtzP3ULjvongYnCbnIFYO5M2YpUGVjidpBQFeCemJ5kA</t>
  </si>
  <si>
    <t>V8ZEZQch_JTx9xqdaTfSflXCVeyWOUP2qbJy8CSDhzU0-C_k5kIziCipucc5EHfa2jdZqtdwnCF7WQ</t>
  </si>
  <si>
    <t>VDY7ZHdGeCdnudQa7xmmP3sOT_G1uvUC6qEr2beK88sTWSMs8k6zNt1WIyd0JLsPHKxKQoPLdzCBcw</t>
  </si>
  <si>
    <t>VKNYaA3aMrWS17sPYeWzvKrunE7lFZ_qWvfzoGt0dFN3NNAcmP4Lmo9kl1MY7ds5RVqGDEeqwfxDfw</t>
  </si>
  <si>
    <t>Vjp5KnvLuc7WjuBGrZtfA1ThqNFdH0ly6ReSHcY5-3cX8thwsKynDXrODuYYw_bOUf_SrvfqtGk08Q</t>
  </si>
  <si>
    <t>VnA8NLuI9uuheXWYtHcet9XJAN1n9n33SETcrwUQ2Yp6j4YJ_ebGPk7t_rHKso5FdWUMwPRbIngL0A</t>
  </si>
  <si>
    <t>Vx9ZJy4MbCtLW5t52mePEArhWLEGbvubQu3PiEkUAANaM11pNrGz2Wr6ZnZz7wWU-8kSJPb6KaDjEA</t>
  </si>
  <si>
    <t>W7HkFIV3RW3Ixdq6-C4imhY94i-NfPVEDVmm-OTbd9FIpzL5Zy7GMOyfx0cvFlx8CKUn9wo7Mw7w3g</t>
  </si>
  <si>
    <t>WJkfE22wD1HVrcGy9NJ8s0ubeBD2Q-llyGdIUtuBGIrrlrXxbzcL2r0nK-tW_SZwaNhM-9p9tVajQQ</t>
  </si>
  <si>
    <t>WNwygjm0xuCEoy-bJqq4PM809wceixVTwOkTHdfT4wJMyTI4Jsa7OJ81Q8YVcBPGzmVYSb-jAga-Kw</t>
  </si>
  <si>
    <t>WT1bHN3_Y1eriv6APaj0lXznkMOQZVMGsNMx2ayLP5PHT1Kfb838pppev_5ZkXXe8dSFhLDsys8A7A</t>
  </si>
  <si>
    <t>WcgC5Wa-l887apbHpLQZ47cN6Lu85vEeKMxG-3m9pu6MOSmpq_gdrgKjPrJVaorKsECcVszYO9tyoQ</t>
  </si>
  <si>
    <t>Wo46dfx4dO6WlhpAh4-xfOJQJUnOI_ePCcFot7da7QQOkrMEbn1itzhEBXay2wdzeOeF3_x4eW9sLA</t>
  </si>
  <si>
    <t>X75QEYxeG1-hZlPzjE6avZxNI3Hd7ByTlaHec_Di5H09pYtSf8gBXYFlZS2r17-La7b9tPwL5gCMyg</t>
  </si>
  <si>
    <t>X97wn6Bo3HUWRzBlRMF6CD1w6lW7zgTVSihJaFoHgTlf_J1aOytK37HTkHqAlF51mwPyHbC1heHJBw</t>
  </si>
  <si>
    <t>XO5dek88ytK2Mg0CJHQshlGaRh9Xgm0ZaoOSIkkBm-g9zoH7ZKbzlEbcqr1GNgfuFZQdPygILh2Yvg</t>
  </si>
  <si>
    <t>XWf_3iITNPWWjSdPxZEF_azRP0GLuthpu8_AECuhLtjDAhz-2nkla12GJCSp5ExVfQn88xb13SBjHQ</t>
  </si>
  <si>
    <t>X_MF2xq4gb6j6NJ_5-bG8J6Y4wmBnIdx__UrLYtM8WBn87l_KhjBLnytk453gORfwVVpGuKR5svfUw</t>
  </si>
  <si>
    <t>X_Y9Yx3VuMQ6ao3yxKlMIzke2-0Wlb2gjm7q8IFh-BL5L6ywqewduQFPMhXQ8lqrL8pki4i-tF6MxQ</t>
  </si>
  <si>
    <t>XtDKt4a7QYRaiJhBgpa0BjrbTsRnoMzeVmmiVbRdekqFKqXJkmBPmVU-LnaMB89mJEsGZiBb0zf6Wg</t>
  </si>
  <si>
    <t>YDK4wXkLRyywR6Zrp4Ka4HwL4731meO8diIh81pgZ0TuugTW8VR9Nwiul1BIbB7f6CWIvwq9jypnjA</t>
  </si>
  <si>
    <t>YDN2GKSQaH5h4nFrqbw2GF4P_ct1hbYyLmXS0R2q_9WVD_DLRSnYxfJAr1jSVHhiGrlrvO-0hBWNOQ</t>
  </si>
  <si>
    <t>YEKBAtH4HVz9CN14Aah4nIm8gF7oC1TEAfHp3J-8n4NUADQFjzkHfeE1v5iP3eBPT15JzjXrXJ48SQ</t>
  </si>
  <si>
    <t>YIS7ueG7Deo_5r32_qLg1a_wdfibe8AB4f-bsZ9EEksCARBDxmPipVB12slgpimbL7ClQ1eXTy3x8Q</t>
  </si>
  <si>
    <t>YJjzWOpKJDM6YVr2sRdxFd17MIgRyjemEDW8jC4k7IcT_ju-9QPk3ZpYZo7ZddeecI78isboyoYRWQ</t>
  </si>
  <si>
    <t>Z7LIaQNe0bMUsuvD_5ruUctjGJ0QTi9sRTVvEgLBXxblcme_mxSb_PzZIl2xEVGgBvMzcbytSzXyMQ</t>
  </si>
  <si>
    <t>Z80EOsIusCdzsEvtm7F5N9HU8rmZPa7Jhe5G7uPJwS72iFSgiUKqwhfEmsmG8tjUSYuBbvPq1KCjJA</t>
  </si>
  <si>
    <t>ZnVAZ5u_gPyw-kSyxx7Bz7Fd-CjI0MVqW7Hc_W-oKloZum1Vcth901kzjMhEk48Wd6zdB1JFp7z8sg</t>
  </si>
  <si>
    <t>ZoBBrQ8qG-reVsd2jvgOVUopGWoJaT10MWEP8WXD095Zrr81S6koc4ebBaixGnEboBZrJ2Xq5gJt_A</t>
  </si>
  <si>
    <t>_6PasD3EX1dVdmNPJdz7LnVVfQOEuGRBwnxrPKDEImz2rvurPRSX4s64RIrF7-PeE6158FEOAlAVhw</t>
  </si>
  <si>
    <t>_Pj4ibgTeHu7aNhcr9GJT2oe-RLBW5sMYA-3HkCPD3fZTqSDHYKCAHJfufuDC59HrNZ40khYHP94eQ</t>
  </si>
  <si>
    <t>_T5eMycI5jRKntxFUCh6G0qBXI25I8JQMqf0NfpoKRuy7J_avO7XtCTcFeXavoQQkqlo66iH2ZqNVA</t>
  </si>
  <si>
    <t>_hr2AFb7m8Z3gFfoP-NUQqAhroBJlT_w90FneEQl0bbPU6r9nJVYKAuKHs__713aIzaRZe-1qKIDxQ</t>
  </si>
  <si>
    <t>_nC4L02JvEHAgtef0W_zLU12RTa1-uTX0nu54I8ewwh97-Kad4uRYYO3dnf65ojICVuCLWxsw4KxSw</t>
  </si>
  <si>
    <t>_q6SpV1lYL6EBDWynvHiOgVhZWBfTC1JVy1Xcbh0GN57bJDalN_tpYs77TBIKCuE8iy80TAi897Krg</t>
  </si>
  <si>
    <t>_s2wQ5YQ1GGkwneczTdbgMOoIMyhsPeQ_Z1pvaYiRNQChr815MiaZmBcCp6teRdLAXcs5wxbwUHlqQ</t>
  </si>
  <si>
    <t>a4IL9xdzU9EIpH7NYFTCurJR6bNW3YlD-CSxmb-ARgHGi5dME1m5UEiMEjFsKtXPxFjskRb95PdtqA</t>
  </si>
  <si>
    <t>aNmFKc4O8AcZgLh7e8OV9iv-ZMu5BCTAXHHZ-yl6kvVHZot2mthb4qWqoiiP4HbzIptBRDMFe3rTtg</t>
  </si>
  <si>
    <t>ala3XKsaekaiU1WZZVz6g8iWFeg8_2XYlopPXJMLePk5lx3COZ6o3me6lsC50sXrjVivCijeAW1NpQ</t>
  </si>
  <si>
    <t>au0ULWSxpO3b9vTuUxg1pMTC4l-zM3FXzj7HoIjkm7jR34quKGZs56fpBfqrIBW5LNoXT4HflMvg_Q</t>
  </si>
  <si>
    <t>awh6QO_Rc8DMKkSn7mSQjciqLT5s7ls1-tY76EszpfdE2vR9sE3yDgcLJ98aJITgU1DMIvUesOjwwQ</t>
  </si>
  <si>
    <t>az9AE1AURuR1-7lRIydDIWKDLS3b0vs8bCCvLqQ6Q0fkaLy0l1T1IuKBw0qrdNN-8e9wvR37Ge0E3w</t>
  </si>
  <si>
    <t>b4ILdVxicwzkXwLb2Ngz9xgBH_cii4s5GS3wvdfqRfEyfS1mxo3Lr2A0e8LQFXHHQi4ov5DPCNQU4w</t>
  </si>
  <si>
    <t>bDHdpschMkBuWF3l9PfInOzqNtn6d0zJDg9-C9e1Lskrak2ee80LldV6N1KqLlcEHl1klm_sHyKM7g</t>
  </si>
  <si>
    <t>bFzfR5Ylp6qc_xYrMZgHOUjJjyEh1j4KUTYNQ7uPkCyw5LiPeG7_BxXJ3k-PQ2LuLbK5TQWrYvNmgQ</t>
  </si>
  <si>
    <t>bV0f-xfxXiXyiVtsSuFeYNLo7fV6db57TVhZ0nh39Iif2V54vT6y8f0to0SrxCjeVhFrfufRAcn-1A</t>
  </si>
  <si>
    <t>boEO8p2iZ1MlUmC-UD54ONOhsyMnbPpL2wcyQWFgFZh1JY7wW6dfyFWJaXro4r9mXAzypGlvUgTfvA</t>
  </si>
  <si>
    <t>bsDPgACrzixrPenwiQpuGDj12RockKS5qpdhLSe8KK80P7sKOe1ktiLxZVkxYGEfL77bVIx1Huexvg</t>
  </si>
  <si>
    <t>c3jmf2cN1ydk-WlE19sVGWwRA3oCcLJ8b1ohOiMk1UawpdMad5EKvJCgcoysEPOoUwMxVS-dpABrEQ</t>
  </si>
  <si>
    <t>cR__9_tpBId6EP0HjPIjlNF5DQ3Fqy5GsgF2ncV0StVtwUaXfDzlXktPgvPHQcx3n6hS2yptRaXHhA</t>
  </si>
  <si>
    <t>cWituiutNW3XGvsBWYYfOM5Md44lAWfghQVGkO2-M9rD8R7W4nkKyIHUI0TUhL7UldkgbET2g_OhSA</t>
  </si>
  <si>
    <t>cjjpiJD7YpD1Stgc0AxGe7aUd-jzH6iKBsbizoqJMl5yYS1pSD9UKNd0P9CRVx8M_gt6Q2jt5qfMwQ</t>
  </si>
  <si>
    <t>cuoTBrJ3OIBaE7SPw7kSRFvUHvBddAchErYpnMNFqwasCKhCucomX10LodV4B7TpKupExqpO7c5ixQ</t>
  </si>
  <si>
    <t>d-vmNVXBExzOrg9xUNNwyBHqPnmqqq4IfO1KF902XLrdVcfpHz-Vwo97Aa23rNmlytGDhBL5Uray5g</t>
  </si>
  <si>
    <t>d1_GkTIsOsq0-mENtDgWD9j9LAVKJ4jV5zXACnXuNH0BF0CklCxTaaIQKhraDC-TbqMhtCDJN84JlQ</t>
  </si>
  <si>
    <t>dBjCL0SjQUrPaAq15Mi9wYv6NOCyfsOpl5ouu39ZBo0vt_utq1Wi2hwWGpku1d02aZO2hHqtkLTidQ</t>
  </si>
  <si>
    <t>dGEPi_l7Gq6PPVD1vw15CXqnhSh8EmnS3pERXwdICOilyX4wajr-iihmkLW5d6QVU3MnYf_f0lcnXg</t>
  </si>
  <si>
    <t>dHNr8pCHMnt2Wlv678XPgDFGLCJqXyI092VKudz7QJDE8AJxXAvTUbUPZRU_5MouXm8qYM66q62gQg</t>
  </si>
  <si>
    <t>dt8KNQV9okUgefZ4OIJEHGjrpt8-S7y0jtHu7Py68yhu8G5krQCaFe__aq4kHGfZ-elKZwmC-UOSsA</t>
  </si>
  <si>
    <t>eCJctHhc8gRHQ3USQlpp_b78N2G3qitGZ1GtuFWLAq9NgGUvl8PiblsV1-f-qFuuTZA3TMMx-z0RZg</t>
  </si>
  <si>
    <t>eJOORUzXNmx0sJjH0_zLA_VfSKixrDWFQ_wcIcJSHe5jzdkc-Fro-d0DJ5oTkBPxVwgqa-xcl5Zujg</t>
  </si>
  <si>
    <t>ewn6Wz9Cx74x-uzA36UlJ5eqUa1LqCguXgenVTcL4K2Nf5Ldkj8uxgLYUIC68dxdAhv3rtlpD29Xmg</t>
  </si>
  <si>
    <t>ezoS7ljCS4qmtJQkvHIjh-BCd7v9Ypjxgbj1-_MZGijyYH-CJVtaNWVQ7-24exz2R0pRStfaYwUnCg</t>
  </si>
  <si>
    <t>ezvjufw0D7MtDZAvg4O5NS75m6xrgjTgYslmizYlZRpsuG-aXCPGHVHLTx7IFnWhJzWRhn_e_eFpcA</t>
  </si>
  <si>
    <t>f4RLBR0NXZPpijqrWi5Dr9A_EM24w-bYjRrqbUYNPY0dwkqR2Q9MC7fevj8ljOY3yoI5NJN2YKP6Jg</t>
  </si>
  <si>
    <t>fBCVUJLvBx8EoCRbGaMMgr31zpdsetTH_O0P8Yudj2VrW-TSo0QmzMX5v0p-qKRJem2xjFpcwltlrQ</t>
  </si>
  <si>
    <t>fCuEKHvz2srLgscs69KBWN9Pr7scSWK40ECPNyVomdI1gkGAZRg5udJDUS87OC6kjrIdTULtddwFHA</t>
  </si>
  <si>
    <t>fIN6rNZiCBaWcRlO-cDPz5X9vwgoz--kmhNCmY3Sy8SqklKqqCdUQk6jOfY_lsGhXQVIhIQwiH0SRQ</t>
  </si>
  <si>
    <t>fPLWWjrQQbK_l9MDwCE23OEhNtHnx9DBNhbqIFWzN-7DG7pOsDiL21ZjH0iTm5YTWBse30gVdTqaoA</t>
  </si>
  <si>
    <t>fX360eeFGgWdclrQygEP1qLUAhHAr723h1eIXxopqifQAl9zbYThjjS3O2D93Tarri5jB4Ly2Vn-xg</t>
  </si>
  <si>
    <t>fbwP8gxUN2RMa43-MrHu7P0zdfNnavwUxWLY-UV61ZvnSwCEeGxEtswMPYrPu8DUqfggKua8Lhg8QA</t>
  </si>
  <si>
    <t>feEbOWAOili3v-w6Ls2uG3s0_hYK0wPhZowt4T5cZz3U1RAlD3yXnTHEy3Y8_F0OPtcq-Z_nGjOVnw</t>
  </si>
  <si>
    <t>fuF6VpH6nZMZjaZ3QQycKhLTNZPRHIgdT2qObkY-alPO-NWHIcOP2hJ5BRfHDN798CIP-iktUtjQ7Q</t>
  </si>
  <si>
    <t>gGuL2zPtgEJgmX5R1yje2oUhxYmI2-fRePgrpJKJ43HqPVJfiMxFDaCiYg0ScAOh1mGd0Jy5IxwLoQ</t>
  </si>
  <si>
    <t>gsfrErsFJJDIm01mrhogJvxAPZGhY3OKXL_ib1TPi9qs1HOqTX60pfwsqBEYiYksiBe2ck1LAutKbw</t>
  </si>
  <si>
    <t>h4nAldsCwcFIIbg3wUpEGDHYPK5PMzGxhnWT301NWqi87s5Y0ZGBqcn4z3aaufDuPoldmW70TV6kCA</t>
  </si>
  <si>
    <t>hHkuRb7_zZew1cxL4pK9K3TYI9auU9razQ47zRO-kBubxSsFxNU3Hk5tz7bVm2zdE4AyDF-LfkG5tQ</t>
  </si>
  <si>
    <t>hWRT43E5FNGkrysY5ns5iMv_H-ERl4Lj-NtqQSO9sARwnbriDMnMzNHZ-1WPhKEJcLElWZjRbLCgqg</t>
  </si>
  <si>
    <t>hciFczHYqtDuAUg_9DnYP_Gq79TBF3uc-0hqoPnhyxDkOm6oCUEI-p86GevGl0YgAsEezRX7KRfAhg</t>
  </si>
  <si>
    <t>hfDhaBDD3Tf2oyU6rj6xZObnK6lxwyHJPJLIoav9VH_hKLQkNsJcGUOCAFu924QbDNygqF3FUuxhXA</t>
  </si>
  <si>
    <t>hhi3MR7uqzxRgN3J18zXrPGwYxc-RuFsdZKry6xnmnZkg3b7-1yZZteBcIXgVM5xepkmIp_vFvFJqQ</t>
  </si>
  <si>
    <t>hn_j976EbYMwsbrNFeAp-PU4fYt6ZyVEbB8mb1L5CElgkxf8nik2jia0SfIfz_BfiXid2zFyET8zhg</t>
  </si>
  <si>
    <t>hu8T6sSwyHozO7-8S1JDad8wZ0UzD3QEZmYR9RjgqKYR1dK-rzAnAOLmmWn3OdYIkOd3Sc4zepT1Rg</t>
  </si>
  <si>
    <t>hzRZddtZUYqDYEkzhWncDk3zEdSCRB2NZJOEErOaSBE03z0DZjV9hrxni8UaCGNDmSXNjcen8rbmCg</t>
  </si>
  <si>
    <t>i2Egi2kshguOtcBIi4ii9F90xWqaWAuUY0LDZ8z-Rif7l69XTb6O9SoBSaQOfHDvw1KJuzBPkwqmBw</t>
  </si>
  <si>
    <t>i8O3CUD6f6aHVgy6IckVZCegiFn3av5xqTkKsVssACXTA_fUiYUvMXjaJZpKksBv1DH0oeDaswQmUw</t>
  </si>
  <si>
    <t>iIISj8SSlRQNQLtsEpTOEp7zvJQlhaaTXiVnM9ZNc0RWfEhlDXCC6kvuRmsB3-7FGVxoP2AH6H0_PQ</t>
  </si>
  <si>
    <t>iLesdPRNxYmUIJ24F31k66mHIy62syAoRyLNOi-dTKwUcPThEP7M3XSwEMLbHWW6sfl7Z7d7Q9_a6g</t>
  </si>
  <si>
    <t>iNpxOnopHA1ijB7s0ffkOkTm0CqI3RaODwy8vTfu-2nueB9cNnibywCWNoYnFNUOZEFIJqCGu09ZRw</t>
  </si>
  <si>
    <t>j6UlwBlv4YuiqxRsANy_-DdFRon8u_tB3jSqsT2Lw_RtnelZJYeIaiSzdPTw2mIViixlro5iFodYOA</t>
  </si>
  <si>
    <t>j8J1EeWRsPMlLiIww69Vp22bmGbYJnIbi4Ap9zo1PVzZOQE6V4Nv4gTKlvS9SI1U6OdOv4_jvIQF1A</t>
  </si>
  <si>
    <t>jftJJF1npwCq5e10WjVxoRV5hOXnS5LkHEk0xfMVD1x__0913qyjrkS2Sknvuf3ctBxkl4cWKLcfIA</t>
  </si>
  <si>
    <t>jtUOC2RZAxjeQavaT8pUHRqO-LI4z2KpuP2Sf2r_VpZ3XjXvplqvCBFUqmtjeyWR8J1a7dtrYdSEFw</t>
  </si>
  <si>
    <t>jxp7BTg75wqPjJXCY2fLCO-kI3RW90cY1ctlGEh2bKNhnaJfw_Z-6y2rvzYD1V7xRb9LZ7zJi4oLYg</t>
  </si>
  <si>
    <t>k98nUJlqC8z9Pt8ftPUZaS2O5fauf8XKctNA-aNIBRMsnDG4empaa_i4rCHcSdrOv9NGT4ef8DplrA</t>
  </si>
  <si>
    <t>kGDGppuzDP4LXJswk41r4HXfE2AZaBDAelFLpI7Z4iHTEZt4NolnyXejXGhm1Q2y4r9nRfaa5g1pqg</t>
  </si>
  <si>
    <t>kH5wsOhdviUsLkvOKNw8RVXnuwqiJNi_R0uNnTB68k3f01r7_epYIgLga_qEN617D9xtrgUW_zs2kA</t>
  </si>
  <si>
    <t>kHn_Dmz1zTtfhkh0BDTit5akjdWEeUENpVtg9e5-av0d5GlgqEOMvm5HgYzq2FMqlxLK9cEM2Ep3sA</t>
  </si>
  <si>
    <t>kXmYSy9OdROb5_O-vExZNkoagN_GfWaR0ASps8ZYAhlnhQk3AAUG57SBTcBfBIbVpvg3IEO5xreeeg</t>
  </si>
  <si>
    <t>kiJJ-aaCj4b0imB3PCHLKzcl_tcDcbmZwUEqw6uYXbYzwmU51B-sUMu9DRZpJvPnoVR1NZmNEmo65Q</t>
  </si>
  <si>
    <t>l2S7AolyOABhuksolvViJxycuv3lZgIOdWPcTVefQj-PmalekAOIOL-0Qc-3P4LWvVsTcrVag1Q7bw</t>
  </si>
  <si>
    <t>lIdNkFOUdsgzpEJzCtGImAjZBmNJVCNkt4XsaytxaHOr8tXORixK_W_InwyCFQ1Murpqxf0x9KffIw</t>
  </si>
  <si>
    <t>lYy4if1gqdCdVaddDL-0AH-ambN0RPx9IEip1HUdn0c-9Z7Nbh-ADqOskCi-6rFsSbCPIgY5RXKdUA</t>
  </si>
  <si>
    <t>lejMr8WgihcEy8jg5nllf3JM-KQl5Ns1EcHvY0wbk-9lE9qzH0FzPJM1GFuuaIhefNoB542NfkAnQQ</t>
  </si>
  <si>
    <t>mbOUW0qgxBDW2npWzIywdSOWZdUbF2ybwh6XnNnoURbj0zI_o4OTLvB3z9QPdmVnfHkBC8urmE2duQ</t>
  </si>
  <si>
    <t>n37MoP5dq4W7HPbFhma-njMBeAKMEdZ6q5161FNM_cH_DW2alarBNdMBwqo_Ss44NbWYHu-BvWLjRg</t>
  </si>
  <si>
    <t>n3ZmNvKkB_D22PNThP9IGxMi3EsSCWPLRNOHRrx0Eed0ggUxGwA9L-BwUXVkir4wdHq1x4h-Q5gUGA</t>
  </si>
  <si>
    <t>nDFk6BeGB5dssuP_3ltyblh2zbBVDdrgjaE6RPoQ9-AHAfq2BIZDO1PivoLaVspLikEYK8YJFSznsg</t>
  </si>
  <si>
    <t>nFBa3JffHMToDyJSHYJQkATRJQgLa0YJf5JRoV2-TF26DLp6BMAE_VBhMg8onQYkgiXiiq6NvcMoeg</t>
  </si>
  <si>
    <t>nQ3IsincttOh2q_kUaG4ZUFaP4VU3SelS9B-rWj0-atIbh5XLjMMRdodoGmw_MwlC3g8A4gVbODyxw</t>
  </si>
  <si>
    <t>nZJZT7Q45TyXFr15zR0nhiFIlWAx3sv0O_dwgEzU7NJWWWpsQxSCBWTU77-hOa84WRrjqGCCwX3JTQ</t>
  </si>
  <si>
    <t>neUl3eJz3--hlTpWeWqUM3bIiLPiao6qmfK-hNeWAoK-nLNyDale9GqCrm3ZiK9cPstw11qR1P6I0g</t>
  </si>
  <si>
    <t>nwU_ItA6POZITfxiE7L8uj4l82EfxVNYoNmquLLheckkXYjSdLxNl18SVJ2xT_gKTSdmcq-Qi4Dj9A</t>
  </si>
  <si>
    <t>oJhUZJrJefCsZ4FMVgC3AKUP25-VHt5UEkK2zKrNMnv_63FmMGZCOwaMTYzu7w3KOYn2JIOBCT3Nlw</t>
  </si>
  <si>
    <t>oSZSoT1gJhj-gmNAM9EikUx6BT78y4Lnv05KhC6-fYbep8vrctSJIpWz3_r_Vq1MYoDtSDT5t-c4mg</t>
  </si>
  <si>
    <t>oVJnnyE2wdv9lmCIpqy2npC41W3QM7iacjSy9CCNyBkk7_rjtV5TVTbkakU0oQ2sb2ETo5fXkYBQtg</t>
  </si>
  <si>
    <t>o__0DZK2C7YsPIzLqgcNLcwZVxtG-krh1_lr_2HTciAJPyHLXA8OBg98meL4GUl8d3CRWhMJFKkvsg</t>
  </si>
  <si>
    <t>okDgyp_b6Yq-HkgB39fa-4icl6AcHQkT3x-rB4FwYgkKluBw8klknF2izGNeqZRTvvZ08GSHBKR-7Q</t>
  </si>
  <si>
    <t>oyCkaj0d2pa4RG3jz3RQn5jyypP16qFYb9PFYjM_XDYSqwwqFbESH2hjIsHPTqJ9-wusIQJfExksZQ</t>
  </si>
  <si>
    <t>pBhijWXNQ0Gx0okUkWA_Rgpbz2GblVgvse9-3OLs6U5KCWc4ia3rbTzLAI9hvE1mK6GgihMayrnlAQ</t>
  </si>
  <si>
    <t>pCkPsWxZnHJji1M2di-LHVWTrzqcxFZOUecEUnSKFPfLrgM5mmYDnx9IZ8vl_PuCNMZGnBilG9Iqwg</t>
  </si>
  <si>
    <t>pN8-znXkfHrgjGOKl44iwbtO_YdjQZ-Ar7hR29KtgAMmujYEiSPzraUMCjbLKvkkuKHDxIbWYIG4uA</t>
  </si>
  <si>
    <t>pVW3B15xJ2Er7t641dLg--xpM61w61-zg0csQe6EpkI_G4zZDwo44xMdDsiWGd_srnACIT-vraVvCA</t>
  </si>
  <si>
    <t>pWNmESqAc7vyt_BcTRPvvwdXiXLqYg3-7yODcZsYIOSCR-btZcaedXe0IMpJ3q-6d0FDhpmPvVlqYw</t>
  </si>
  <si>
    <t>pjpYAaIxDDAqbiUlXQt8GetkfqGkDZTdH5Q2cqg6OBasGvSt86MHmdDtE7kuGm3-MRCKORcQaxm5qQ</t>
  </si>
  <si>
    <t>pkZEmJ-po5oUbuLC_BQS75Nk7TD0QT5Xvk_cQIhnqkqQCq0NxrEsJ_FGG9F6LYpxph6XNVE4siMtoQ</t>
  </si>
  <si>
    <t>ptdDp-zQNLNFF_YgZgO9MFhGymTyv_xIO-L4bI0sCJWGbKFwcvwGr8oZ47NhnSmGEDtgccCd4f3DJQ</t>
  </si>
  <si>
    <t>q6J2KIwnVMnnHgRS8v6NBm5FoIfPS9SL036zWuejYYgrex7Sj9l7HYVRgVgEVztGphBrRaJkW9czWA</t>
  </si>
  <si>
    <t>q6dPezzOQ8XupYE1DOQxgqgzplBjX5QVQh_07ug4yaX5gvijRddxdTRU3WrNv0Fa6cOGOahILJmSYw</t>
  </si>
  <si>
    <t>qcNVKf1ZaDcml1OxD6JpBj7pN5Sv-2wiuD5W8BY760csW63GX4UWN7nQlXoZkIq6R2fXHKnyyCeIBA</t>
  </si>
  <si>
    <t>r08T-oofIbXvZ-JHOReqViT_s7U1IAPKkBhox6COe59SGvOOkHtjNqOG9xAuR9EUGGdMZZv63Ej50Q</t>
  </si>
  <si>
    <t>rLtxyi0d9RZUzpq8Ry-a5Be640Tyy7VRYIyP7_ZvpxDkn4tTw3zpP5fYc8ATOoDpeITQEIvGqMSsZA</t>
  </si>
  <si>
    <t>revMumOVKL2WBUMbyZ5VrVTq9itSOLvO1i_ijMbGbTG8ThcL8DIfQBy8SWhcu49qRDSHFpEZoUelbA</t>
  </si>
  <si>
    <t>riddU3YXVNj4XI5uNl2zSKW7PyGZOyxlX1bH2bTuSRS-0J62M6wuMQFT9kpsMLMlHElh3e9WZ-jcaQ</t>
  </si>
  <si>
    <t>rk6p_-UCg3mXbCg0XrLXYfeo8xvf1BY-LWxuAgvXnz8bsKRzz3OEXbnlSlbPc7EtXAVgfyZk4ih3GA</t>
  </si>
  <si>
    <t>rvH7KIB8Pn-GojJdHFjpDVQbv5bcpZ5bVDo3PaTOijvay9owa-yd7_3gl460F85Sr0F2llJxze2ZEg</t>
  </si>
  <si>
    <t>s47miXWznQWcFZywPq938nGuqv62K_jmkq3hm-Dynal1Qt2HvKb-mhFGHRTx0cmk20iO56mvCiwy5w</t>
  </si>
  <si>
    <t>s9cbNqx1FYoVGXa1k7wrvEaljnIZKcDH84Jc_zKsjb2Sp_da0ZMXEI1wbBJBwtQfQFxMHMtyTi-59g</t>
  </si>
  <si>
    <t>sAE-6SjVRsraT5DWavV6hOeDrn0WmIbsnMoTAiUbGjRymivcKkxieFHIwchUl-80qGzbNeB0t45AbA</t>
  </si>
  <si>
    <t>sBKIpoVtDDcR-NJqaSdxxt0mXONM9AlSkv3ekr9j1jCzlS8tlnq_RXueCAyCQneCiSqjHndNcaFMAQ</t>
  </si>
  <si>
    <t>sFMJCa2rqVH3Seop70SK6t06yWf3XdcjPKn4kbwUVJR8hZ4zaB-AQrXTqie1KGLlyuekV7CQ6Eqs0Q</t>
  </si>
  <si>
    <t>sFrsDV7ngg58_pfbezoPEMZlHfD6zxn05XbMQOszYztt7ZExSVLCvsygZZCLZhrs6LsQfi-m0_UETg</t>
  </si>
  <si>
    <t>sNxQA1LPfGFEU7zil3O_iUZnSWuh0ZZGSmRfl9-Bz-AGTGdsi40LfhWud-BimC1CKvvbpGsp2IHGoQ</t>
  </si>
  <si>
    <t>siKGdSuXkuBHoNm__NWolyKZ9ne7DYFNObSJ07VTx7n51ifd6kN2Zm0eie4cr-p3t6U09hO5nbSi7A</t>
  </si>
  <si>
    <t>slbsHalibsE-iPagxy2YL5jUbnd-mDZ5A_cJN5HAjtqAa2Khc2AwoPWSmkh15gXEghVIaZLvBKf1Mg</t>
  </si>
  <si>
    <t>tNAYqkj2nvDrkQmeDuQKLpDP-C5NCq2rLJEdpgWWsUDuopxIczaTf6gADiRxDQwSUBbk4qQY3KjyRA</t>
  </si>
  <si>
    <t>tRU3L7TAeg5B11ZunEZWyl7zKP7O0O1pSl8UKzH62uP7Y_sgC5gDFCMgySrefg9-JESIpH3y77ubcQ</t>
  </si>
  <si>
    <t>tvzknC7WglVwBDNmLioxqkiTPZxHOwJKtF_nswv3DwhMrMkhOVLDa_dXvlm2O-DKbTHkemIL2pivKg</t>
  </si>
  <si>
    <t>u7p5qiS_T9uxYvUbAqpVB-YgOBtRHrGBPbwBB5p4o-uN7yn9ZjiikGQwhLLTL6t3UaQ2LtZLtsoTgg</t>
  </si>
  <si>
    <t>uIG1VwUNTADoL4c8Z82vQvPjeAUphEER7FxhevwGWp2BWAfgdGVprRYNAdatGX8NNcDV1zsbBMZ7dQ</t>
  </si>
  <si>
    <t>uTb_GKUFqTbFY7-ikPzN28TjjQwf-e2XHntPxnOdwwd4ocxLWRTiEyMO21YdYCH50zkFUWcz0q4gNw</t>
  </si>
  <si>
    <t>uVg_WT7jFeDxjG3xoHdN8VzSWUKdcUDUAkVTmURQt9ybNHl4zxxMnBh1e24xo1lIgvBBfEd7igX1Sw</t>
  </si>
  <si>
    <t>uf15ScLfdECC7lrA2CKVLhdTdQKatrZzCj0_noKwxI1PP0DO-HCUOu4ip_uEKFj4UT0gIqkwaTh6eA</t>
  </si>
  <si>
    <t>v8rNlMQwI7dcc4jZlLmpRAP4VbG8tdjXJsiwXg3IGoK68GC9LER8r1vUiq0WGlxhoNghcx3BBPYGLQ</t>
  </si>
  <si>
    <t>vRR5nQVmfnnSKetHEjXl98YNHmQySjrnyxohM5h9H7UiDjqM8RNVKqS-Vx-vHfvxzrAgQmL9R7AoFw</t>
  </si>
  <si>
    <t>vy1R6fxewfj-li9q_SqfIMYLq3R2u8F2E6AfHHVmjHrds6YNqw36JP0UfUvnE2qVqNd4v6vXiOYQyg</t>
  </si>
  <si>
    <t>wMI6tM0SO9CXiqfhq5FeiBBp9GiQWioOueazyY4I20Qav_joOm4ecPd8HfNoWiXcRPCpxwrohmHRgw</t>
  </si>
  <si>
    <t>wYzjDg0cmdPbregvhwQqprlNMcXdpZs4PKQlk8u57LOcnmXuelGtEzKncBmJtJDb3pmrR96PPqr0Hg</t>
  </si>
  <si>
    <t>wb1KvhFLpbRH4DwNpkvg6x_IA9L35u26iY4BmaNpo9Cx7C8VkJn8vcP1Jsd0zzvLSgVgbAtxrTt-ag</t>
  </si>
  <si>
    <t>wf76SwQz4g9N7ztiwDmSg583DIicItNWj6eUV3U12a6Tj4QNc1xASlcFUVZPR1UvEYLjhy-A0kHQfA</t>
  </si>
  <si>
    <t>xGHJTZFcOSsWnqrGV0U7qZO68BPJmKVDeWqrPxZOrqNghHc-DoyEUJghvl6Ta3gIwwt1noe6Bw9Qdg</t>
  </si>
  <si>
    <t>xJfQTlKvUwVLFfW2XpwY4oUqmmfH5MB5NMOCN6wvZVRd5sB44v1XohNOzGiGxyO_u4KnJCLqhyXSuQ</t>
  </si>
  <si>
    <t>xMV8X0pf4Bpd1TdvvLn8Gh8TezF7Vee4Sit_p4yKgowOx0dq3S2wzgwn693XGoSBaJBAZ178AHA6dA</t>
  </si>
  <si>
    <t>xuDt_BRw2PFYMcg7dHPiMCeiLczHMo344JmWTirMCHjknJvhgjxdpbAjBOV-_gJdc23Sd5PodlSQ0w</t>
  </si>
  <si>
    <t>xurY3Cb57Ra6COLh_BSLqrcc5nUklrIU4V9XYB_JyhcXV4qJFw9xVpOEf8AODeXtqOeRwTCRDtHczw</t>
  </si>
  <si>
    <t>xv-mu-Ef__7gnr1gryfOw4rt_67AgYgJ-nfb_oyGhG7cXXaVEYRUJynHnx8nRnzji_Rfi--Y44X5xA</t>
  </si>
  <si>
    <t>yCVkxFs2euoX5YIi4GvW_fZ6FguJNI1EkhOT3th7J6P-ygvBvC0qQkSWEY7oRCQ3oYyL-oXNgmOpAQ</t>
  </si>
  <si>
    <t>ykYBE0eh_bi0iopesFCq7Cp8zs0lFKCAxOo_ctaGzEjT9UBMZ0P8tvmJv3hs4euGMUbCzCw-3-H75Q</t>
  </si>
  <si>
    <t>ym_0sDD87Cq7Mca1IX5zo5QP_rPLXoAb6bZrEoKfPl7ft6Tj3OvJmiUyEjcUC_k7bNxuMUF7XG0Yqg</t>
  </si>
  <si>
    <t>yqL7HZtpCh1g3OyT2oiznqMAAGaQF1og54jVVQ2s0sH90UgIVLewAL-NBfS9IlGQHnXC7kpZNxJUwg</t>
  </si>
  <si>
    <t>ysHvg1e5zCBVWGUTNvjR2darbQD0DQWriN47F-FMlx7OJC2vJ8Qt4jujMQsnKWAP9INzQyjzeI04eA</t>
  </si>
  <si>
    <t>zUUuhFOlR32CnDC3S21w9MzaHuiyMnjbikyj64grDuSf-EVqlcWBtVKilnpze4bzDSQMog1KtQAW4Q</t>
  </si>
  <si>
    <t>zfjOD88HnfRS88kdky7z9KDNNrDMtAFJFKwIJXIHLF6WlVVbkueOA6ahKLXdFOPzp5siVOTCLvtjgQ</t>
  </si>
  <si>
    <t>zkVngN_JPPAROmS7EjsdYy2DBGuyVpX85W83xtCckxGEy9xneaIwNqsTZfi3i8Tya3teMn5UJI3W2Q</t>
  </si>
  <si>
    <t>zz-1WCVCyFwnLrzhIbRkyf0TvVSFScIIZuqZujMJ0x6lGznInpCtUE-snPlH9rYD8tKFb-RHUy13oQ</t>
  </si>
  <si>
    <t>RFM quartile cutoffs (computed from the data)</t>
  </si>
  <si>
    <t>Axis</t>
  </si>
  <si>
    <t>Q1 (25%)</t>
  </si>
  <si>
    <t>Q2 (median)</t>
  </si>
  <si>
    <t>Q3 (75%)</t>
  </si>
  <si>
    <t>Recency  (days_since_last)</t>
  </si>
  <si>
    <t>Frequency  (total_games)</t>
  </si>
  <si>
    <t>Engagement  (unique_champions)</t>
  </si>
  <si>
    <t>Recency is reversed: fewer days since last game scores higher.</t>
  </si>
  <si>
    <t>Churn by RFM score and by named segment</t>
  </si>
  <si>
    <t>By combined RFM score (3 to 12)</t>
  </si>
  <si>
    <t>RFM score</t>
  </si>
  <si>
    <t>players</t>
  </si>
  <si>
    <t>churn rate</t>
  </si>
  <si>
    <t>By named segment</t>
  </si>
  <si>
    <t>Champions</t>
  </si>
  <si>
    <t>Promising</t>
  </si>
  <si>
    <t>Cooling</t>
  </si>
  <si>
    <t>At risk</t>
  </si>
  <si>
    <t>Dormant</t>
  </si>
  <si>
    <t>Churn rate by Recency x Frequency score</t>
  </si>
  <si>
    <t>Rows = Recency, Columns = Frequency. 4 = most engaged.</t>
  </si>
  <si>
    <t>R \ F</t>
  </si>
  <si>
    <t>Players per cell</t>
  </si>
  <si>
    <t>Behavior: churned vs retained</t>
  </si>
  <si>
    <t>Average of each metric by outcome, with the gap.</t>
  </si>
  <si>
    <t>metric</t>
  </si>
  <si>
    <t>retained</t>
  </si>
  <si>
    <t>difference %</t>
  </si>
  <si>
    <t>total games</t>
  </si>
  <si>
    <t>days since last</t>
  </si>
  <si>
    <t>unique champions</t>
  </si>
  <si>
    <t>games per active day</t>
  </si>
  <si>
    <t>win rate</t>
  </si>
  <si>
    <t>avg KDA</t>
  </si>
  <si>
    <t>games trend</t>
  </si>
  <si>
    <t>account level</t>
  </si>
  <si>
    <t>Churn by role and by tier</t>
  </si>
  <si>
    <t>By primary role</t>
  </si>
  <si>
    <t>role</t>
  </si>
  <si>
    <t>By tier</t>
  </si>
  <si>
    <t>RFM churn workbook</t>
  </si>
  <si>
    <t>Population: 335 ranked players in the low and mid tiers, where churn concentrates.</t>
  </si>
  <si>
    <t>Churn = engaged in the feature period, then zero ranked games in the outcome period.</t>
  </si>
  <si>
    <t>RFM scoring, each axis scored 1 to 4 by data quartile:</t>
  </si>
  <si>
    <t xml:space="preserve">  Recency    = days since last game, reversed (recent play scores higher).</t>
  </si>
  <si>
    <t xml:space="preserve">  Frequency  = total games in the window.</t>
  </si>
  <si>
    <t xml:space="preserve">  Engagement = unique champions played (breadth).</t>
  </si>
  <si>
    <t>Named segments combine Recency and Frequency into action groups:</t>
  </si>
  <si>
    <t xml:space="preserve">  Champions  - recent and frequent, safest.</t>
  </si>
  <si>
    <t xml:space="preserve">  Promising  - recent, lower frequency.</t>
  </si>
  <si>
    <t xml:space="preserve">  Cooling    - moderate recency, slipping.</t>
  </si>
  <si>
    <t xml:space="preserve">  At risk    - frequent but gone quiet, the priority to re engage.</t>
  </si>
  <si>
    <t xml:space="preserve">  Dormant    - low recency and frequency, highest churn.</t>
  </si>
  <si>
    <t>Sheets: Dashboard, Data, Cutoffs, Segments, RF_Heatmap, Drivers, Cuts.</t>
  </si>
  <si>
    <t>All scores and rates are live formulas, so the model updates if the data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</si>
</sst>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C9A14A"/>
      <name val="Arial"/>
      <charset val="1"/>
    </font>
    <font>
      <b/>
      <sz val="22"/>
      <color rgb="FF1A3A5C"/>
      <name val="Arial"/>
      <charset val="1"/>
    </font>
    <font>
      <b/>
      <sz val="10"/>
      <color rgb="FF1A3A5C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A3A5C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4F6F8"/>
        <bgColor rgb="FFFBF4E2"/>
      </patternFill>
    </fill>
    <fill>
      <patternFill patternType="solid">
        <fgColor rgb="FFFBF4E2"/>
        <bgColor rgb="FFF4F6F8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2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2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BF4E2"/>
      <rgbColor rgb="FFF4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C9A14A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ca-ES" sz="1800" b="1" strike="noStrike" spc="-1">
                <a:solidFill>
                  <a:srgbClr val="000000"/>
                </a:solidFill>
                <a:latin typeface="Calibri"/>
              </a:rPr>
              <a:t>Churn rate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Segments!$C$19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Segments!$A$20:$A$24</c:f>
              <c:strCache>
                <c:ptCount val="5"/>
                <c:pt idx="0">
                  <c:v>Champions</c:v>
                </c:pt>
                <c:pt idx="1">
                  <c:v>Promising</c:v>
                </c:pt>
                <c:pt idx="2">
                  <c:v>Cooling</c:v>
                </c:pt>
                <c:pt idx="3">
                  <c:v>At risk</c:v>
                </c:pt>
                <c:pt idx="4">
                  <c:v>Dormant</c:v>
                </c:pt>
              </c:strCache>
            </c:strRef>
          </c:cat>
          <c:val>
            <c:numRef>
              <c:f>Segments!$C$20:$C$24</c:f>
              <c:numCache>
                <c:formatCode>0.0%</c:formatCode>
                <c:ptCount val="5"/>
                <c:pt idx="0">
                  <c:v>3.9603960396039604E-2</c:v>
                </c:pt>
                <c:pt idx="1">
                  <c:v>7.792207792207792E-2</c:v>
                </c:pt>
                <c:pt idx="2">
                  <c:v>0.27777777777777779</c:v>
                </c:pt>
                <c:pt idx="3">
                  <c:v>0.3188405797101449</c:v>
                </c:pt>
                <c:pt idx="4">
                  <c:v>0.48076923076923078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6-4210-AF0C-4636892D6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47537"/>
        <c:axId val="83591330"/>
      </c:barChart>
      <c:catAx>
        <c:axId val="64847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83591330"/>
        <c:crosses val="autoZero"/>
        <c:auto val="1"/>
        <c:lblAlgn val="ctr"/>
        <c:lblOffset val="100"/>
        <c:noMultiLvlLbl val="0"/>
      </c:catAx>
      <c:valAx>
        <c:axId val="83591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64847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ca-ES" sz="1800" b="1" strike="noStrike" spc="-1">
                <a:solidFill>
                  <a:srgbClr val="000000"/>
                </a:solidFill>
                <a:latin typeface="Calibri"/>
              </a:rPr>
              <a:t>Players per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Segments!$B$19</c:f>
              <c:strCache>
                <c:ptCount val="1"/>
                <c:pt idx="0">
                  <c:v>players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Segments!$A$20:$A$24</c:f>
              <c:strCache>
                <c:ptCount val="5"/>
                <c:pt idx="0">
                  <c:v>Champions</c:v>
                </c:pt>
                <c:pt idx="1">
                  <c:v>Promising</c:v>
                </c:pt>
                <c:pt idx="2">
                  <c:v>Cooling</c:v>
                </c:pt>
                <c:pt idx="3">
                  <c:v>At risk</c:v>
                </c:pt>
                <c:pt idx="4">
                  <c:v>Dormant</c:v>
                </c:pt>
              </c:strCache>
            </c:strRef>
          </c:cat>
          <c:val>
            <c:numRef>
              <c:f>Segments!$B$20:$B$24</c:f>
              <c:numCache>
                <c:formatCode>General</c:formatCode>
                <c:ptCount val="5"/>
                <c:pt idx="0">
                  <c:v>101</c:v>
                </c:pt>
                <c:pt idx="1">
                  <c:v>77</c:v>
                </c:pt>
                <c:pt idx="2">
                  <c:v>36</c:v>
                </c:pt>
                <c:pt idx="3">
                  <c:v>69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0-401D-8BF8-63C2CD257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831247"/>
        <c:axId val="43265106"/>
      </c:barChart>
      <c:catAx>
        <c:axId val="8283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43265106"/>
        <c:crosses val="autoZero"/>
        <c:auto val="1"/>
        <c:lblAlgn val="ctr"/>
        <c:lblOffset val="100"/>
        <c:noMultiLvlLbl val="0"/>
      </c:catAx>
      <c:valAx>
        <c:axId val="43265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828312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ca-ES" sz="1800" b="1" strike="noStrike" spc="-1">
                <a:solidFill>
                  <a:srgbClr val="000000"/>
                </a:solidFill>
                <a:latin typeface="Calibri"/>
              </a:rPr>
              <a:t>Churn rate by RFM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Segments!$C$5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Segments!$A$6:$A$15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f>Segments!$C$6:$C$15</c:f>
              <c:numCache>
                <c:formatCode>0.0%</c:formatCode>
                <c:ptCount val="10"/>
                <c:pt idx="0">
                  <c:v>0.42857142857142855</c:v>
                </c:pt>
                <c:pt idx="1">
                  <c:v>0.36363636363636365</c:v>
                </c:pt>
                <c:pt idx="2">
                  <c:v>0.3888888888888889</c:v>
                </c:pt>
                <c:pt idx="3">
                  <c:v>0.32</c:v>
                </c:pt>
                <c:pt idx="4">
                  <c:v>0.25806451612903225</c:v>
                </c:pt>
                <c:pt idx="5">
                  <c:v>0.1</c:v>
                </c:pt>
                <c:pt idx="6">
                  <c:v>0.10869565217391304</c:v>
                </c:pt>
                <c:pt idx="7">
                  <c:v>2.6315789473684209E-2</c:v>
                </c:pt>
                <c:pt idx="8">
                  <c:v>0.125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A-486A-90A7-D3ECE577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96987"/>
        <c:axId val="35999184"/>
      </c:barChart>
      <c:catAx>
        <c:axId val="25596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35999184"/>
        <c:crosses val="autoZero"/>
        <c:auto val="1"/>
        <c:lblAlgn val="ctr"/>
        <c:lblOffset val="100"/>
        <c:noMultiLvlLbl val="0"/>
      </c:catAx>
      <c:valAx>
        <c:axId val="35999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255969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ca-ES" sz="1800" b="1" strike="noStrike" spc="-1">
                <a:solidFill>
                  <a:srgbClr val="000000"/>
                </a:solidFill>
                <a:latin typeface="Calibri"/>
              </a:rPr>
              <a:t>Churn by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Cuts!$C$4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Cuts!$A$5:$A$9</c:f>
              <c:strCache>
                <c:ptCount val="5"/>
                <c:pt idx="0">
                  <c:v>JUNGLE</c:v>
                </c:pt>
                <c:pt idx="1">
                  <c:v>UTILITY</c:v>
                </c:pt>
                <c:pt idx="2">
                  <c:v>TOP</c:v>
                </c:pt>
                <c:pt idx="3">
                  <c:v>BOTTOM</c:v>
                </c:pt>
                <c:pt idx="4">
                  <c:v>MIDDLE</c:v>
                </c:pt>
              </c:strCache>
            </c:strRef>
          </c:cat>
          <c:val>
            <c:numRef>
              <c:f>Cuts!$C$5:$C$9</c:f>
              <c:numCache>
                <c:formatCode>0.0%</c:formatCode>
                <c:ptCount val="5"/>
                <c:pt idx="0">
                  <c:v>0.25</c:v>
                </c:pt>
                <c:pt idx="1">
                  <c:v>0.22972972972972974</c:v>
                </c:pt>
                <c:pt idx="2">
                  <c:v>0.2</c:v>
                </c:pt>
                <c:pt idx="3">
                  <c:v>0.17910447761194029</c:v>
                </c:pt>
                <c:pt idx="4">
                  <c:v>0.15492957746478872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4-4125-A599-B46C99B1C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70574"/>
        <c:axId val="93161674"/>
      </c:barChart>
      <c:catAx>
        <c:axId val="880705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93161674"/>
        <c:crosses val="autoZero"/>
        <c:auto val="1"/>
        <c:lblAlgn val="ctr"/>
        <c:lblOffset val="100"/>
        <c:noMultiLvlLbl val="0"/>
      </c:catAx>
      <c:valAx>
        <c:axId val="931616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880705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ca-ES" sz="1800" b="1" strike="noStrike" spc="-1">
                <a:solidFill>
                  <a:srgbClr val="000000"/>
                </a:solidFill>
                <a:latin typeface="Calibri"/>
              </a:rPr>
              <a:t>Churn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Cuts!$C$13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Cuts!$A$14:$A$19</c:f>
              <c:strCache>
                <c:ptCount val="6"/>
                <c:pt idx="0">
                  <c:v>IRON</c:v>
                </c:pt>
                <c:pt idx="1">
                  <c:v>BRONZE</c:v>
                </c:pt>
                <c:pt idx="2">
                  <c:v>SILVER</c:v>
                </c:pt>
                <c:pt idx="3">
                  <c:v>GOLD</c:v>
                </c:pt>
                <c:pt idx="4">
                  <c:v>PLATINUM</c:v>
                </c:pt>
                <c:pt idx="5">
                  <c:v>EMERALD</c:v>
                </c:pt>
              </c:strCache>
            </c:strRef>
          </c:cat>
          <c:val>
            <c:numRef>
              <c:f>Cuts!$C$14:$C$19</c:f>
              <c:numCache>
                <c:formatCode>0.0%</c:formatCode>
                <c:ptCount val="6"/>
                <c:pt idx="0">
                  <c:v>0.23333333333333334</c:v>
                </c:pt>
                <c:pt idx="1">
                  <c:v>0.1891891891891892</c:v>
                </c:pt>
                <c:pt idx="2">
                  <c:v>0.24074074074074073</c:v>
                </c:pt>
                <c:pt idx="3">
                  <c:v>0.13793103448275862</c:v>
                </c:pt>
                <c:pt idx="4">
                  <c:v>0.10144927536231885</c:v>
                </c:pt>
                <c:pt idx="5">
                  <c:v>0.28735632183908044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6-4900-8981-DB703B47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498362"/>
        <c:axId val="52458872"/>
      </c:barChart>
      <c:catAx>
        <c:axId val="8349836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52458872"/>
        <c:crosses val="autoZero"/>
        <c:auto val="1"/>
        <c:lblAlgn val="ctr"/>
        <c:lblOffset val="100"/>
        <c:noMultiLvlLbl val="0"/>
      </c:catAx>
      <c:valAx>
        <c:axId val="524588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LID4096"/>
          </a:p>
        </c:txPr>
        <c:crossAx val="834983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27720</xdr:colOff>
      <xdr:row>23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13</xdr:col>
      <xdr:colOff>191520</xdr:colOff>
      <xdr:row>23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380520</xdr:colOff>
      <xdr:row>0</xdr:row>
      <xdr:rowOff>380520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0"/>
          <a:ext cx="38052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160920</xdr:rowOff>
    </xdr:from>
    <xdr:to>
      <xdr:col>11</xdr:col>
      <xdr:colOff>398880</xdr:colOff>
      <xdr:row>17</xdr:row>
      <xdr:rowOff>13320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160560</xdr:rowOff>
    </xdr:from>
    <xdr:to>
      <xdr:col>10</xdr:col>
      <xdr:colOff>290880</xdr:colOff>
      <xdr:row>13</xdr:row>
      <xdr:rowOff>34200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15240</xdr:colOff>
      <xdr:row>13</xdr:row>
      <xdr:rowOff>84360</xdr:rowOff>
    </xdr:from>
    <xdr:to>
      <xdr:col>10</xdr:col>
      <xdr:colOff>306120</xdr:colOff>
      <xdr:row>24</xdr:row>
      <xdr:rowOff>140880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showGridLines="0" topLeftCell="A3" zoomScaleNormal="100" workbookViewId="0">
      <selection activeCell="B29" sqref="B27:L29"/>
    </sheetView>
  </sheetViews>
  <sheetFormatPr defaultColWidth="8.68359375" defaultRowHeight="14.4" x14ac:dyDescent="0.55000000000000004"/>
  <cols>
    <col min="1" max="12" width="11" customWidth="1"/>
  </cols>
  <sheetData>
    <row r="1" spans="1:12" ht="45.75" customHeight="1" x14ac:dyDescent="0.5500000000000000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55000000000000004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x14ac:dyDescent="0.55000000000000004">
      <c r="B4" s="6" t="s">
        <v>2</v>
      </c>
      <c r="C4" s="6"/>
      <c r="E4" s="6" t="s">
        <v>3</v>
      </c>
      <c r="F4" s="6"/>
      <c r="H4" s="6" t="s">
        <v>4</v>
      </c>
      <c r="I4" s="6"/>
      <c r="K4" s="6" t="s">
        <v>5</v>
      </c>
      <c r="L4" s="6"/>
    </row>
    <row r="5" spans="1:12" x14ac:dyDescent="0.55000000000000004">
      <c r="B5" s="5">
        <f>COUNT(Data!$E$2:$E$336)</f>
        <v>335</v>
      </c>
      <c r="C5" s="5"/>
      <c r="E5" s="4">
        <f>AVERAGE(Data!$E$2:$E$336)</f>
        <v>0.2</v>
      </c>
      <c r="F5" s="4"/>
      <c r="H5" s="4">
        <f>AVERAGEIF(Data!$R$2:$R$336,"Dormant",Data!$E$2:$E$336)</f>
        <v>0.48076923076923078</v>
      </c>
      <c r="I5" s="4"/>
      <c r="K5" s="5">
        <f>COUNTIF(Data!$R$2:$R$336,"Dormant")+COUNTIF(Data!$R$2:$R$336,"At risk")</f>
        <v>121</v>
      </c>
      <c r="L5" s="5"/>
    </row>
    <row r="6" spans="1:12" x14ac:dyDescent="0.55000000000000004">
      <c r="B6" s="5"/>
      <c r="C6" s="5"/>
      <c r="E6" s="4"/>
      <c r="F6" s="4"/>
      <c r="H6" s="4"/>
      <c r="I6" s="4"/>
      <c r="K6" s="5"/>
      <c r="L6" s="5"/>
    </row>
    <row r="8" spans="1:12" x14ac:dyDescent="0.55000000000000004">
      <c r="B8" s="3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</row>
    <row r="26" spans="2:12" x14ac:dyDescent="0.55000000000000004">
      <c r="B26" s="2" t="s">
        <v>7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55000000000000004">
      <c r="B27" s="1" t="s">
        <v>8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x14ac:dyDescent="0.55000000000000004">
      <c r="B28" s="1" t="s">
        <v>9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55000000000000004">
      <c r="B29" s="1" t="s">
        <v>10</v>
      </c>
      <c r="C29" s="1"/>
      <c r="D29" s="1"/>
      <c r="E29" s="1"/>
      <c r="F29" s="1"/>
      <c r="G29" s="1"/>
      <c r="H29" s="1"/>
      <c r="I29" s="1"/>
      <c r="J29" s="1"/>
      <c r="K29" s="1"/>
      <c r="L29" s="1"/>
    </row>
  </sheetData>
  <mergeCells count="14">
    <mergeCell ref="B26:L26"/>
    <mergeCell ref="B27:L27"/>
    <mergeCell ref="B28:L28"/>
    <mergeCell ref="B29:L29"/>
    <mergeCell ref="B5:C6"/>
    <mergeCell ref="E5:F6"/>
    <mergeCell ref="H5:I6"/>
    <mergeCell ref="K5:L6"/>
    <mergeCell ref="B8:L8"/>
    <mergeCell ref="A2:L2"/>
    <mergeCell ref="B4:C4"/>
    <mergeCell ref="E4:F4"/>
    <mergeCell ref="H4:I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8359375" defaultRowHeight="14.4" x14ac:dyDescent="0.55000000000000004"/>
  <cols>
    <col min="1" max="1" width="58" customWidth="1"/>
    <col min="2" max="3" width="9" customWidth="1"/>
    <col min="4" max="4" width="13" customWidth="1"/>
    <col min="5" max="5" width="8" customWidth="1"/>
    <col min="6" max="6" width="11" customWidth="1"/>
    <col min="7" max="7" width="13" customWidth="1"/>
    <col min="8" max="8" width="14" customWidth="1"/>
    <col min="9" max="9" width="16" customWidth="1"/>
    <col min="10" max="11" width="9" customWidth="1"/>
    <col min="12" max="12" width="11" customWidth="1"/>
    <col min="13" max="13" width="13" customWidth="1"/>
    <col min="14" max="16" width="8" customWidth="1"/>
    <col min="17" max="17" width="9" customWidth="1"/>
    <col min="18" max="18" width="12" customWidth="1"/>
  </cols>
  <sheetData>
    <row r="1" spans="1:18" x14ac:dyDescent="0.55000000000000004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  <c r="P1" s="9" t="s">
        <v>26</v>
      </c>
      <c r="Q1" s="9" t="s">
        <v>27</v>
      </c>
      <c r="R1" s="9" t="s">
        <v>28</v>
      </c>
    </row>
    <row r="2" spans="1:18" x14ac:dyDescent="0.55000000000000004">
      <c r="A2" s="10" t="s">
        <v>29</v>
      </c>
      <c r="B2" s="10" t="s">
        <v>30</v>
      </c>
      <c r="C2" s="10" t="s">
        <v>31</v>
      </c>
      <c r="D2" s="10" t="s">
        <v>32</v>
      </c>
      <c r="E2" s="10">
        <v>0</v>
      </c>
      <c r="F2" s="10">
        <v>64</v>
      </c>
      <c r="G2" s="10">
        <v>10</v>
      </c>
      <c r="H2" s="10">
        <v>25</v>
      </c>
      <c r="I2" s="11">
        <v>2.37</v>
      </c>
      <c r="J2" s="12">
        <v>0.42199999999999999</v>
      </c>
      <c r="K2" s="11">
        <v>2.2200000000000002</v>
      </c>
      <c r="L2" s="10">
        <v>-10</v>
      </c>
      <c r="M2" s="10">
        <v>745</v>
      </c>
      <c r="N2" s="10">
        <f>IF(G2&lt;=Cutoffs!$B$4,4,IF(G2&lt;=Cutoffs!$C$4,3,IF(G2&lt;=Cutoffs!$D$4,2,1)))</f>
        <v>2</v>
      </c>
      <c r="O2" s="10">
        <f>IF(F2&gt;=Cutoffs!$D$5,4,IF(F2&gt;=Cutoffs!$C$5,3,IF(F2&gt;=Cutoffs!$B$5,2,1)))</f>
        <v>2</v>
      </c>
      <c r="P2" s="10">
        <f>IF(H2&gt;=Cutoffs!$D$6,4,IF(H2&gt;=Cutoffs!$C$6,3,IF(H2&gt;=Cutoffs!$B$6,2,1)))</f>
        <v>3</v>
      </c>
      <c r="Q2" s="10">
        <f t="shared" ref="Q2:Q65" si="0">N2+O2+P2</f>
        <v>7</v>
      </c>
      <c r="R2" s="10" t="str">
        <f t="shared" ref="R2:R65" si="1">IF(AND(N2&gt;=3,O2&gt;=3),"Champions",IF(N2&gt;=3,"Promising",IF(AND(O2&gt;=3,N2&lt;=2),"At risk",IF(N2=2,"Cooling","Dormant"))))</f>
        <v>Cooling</v>
      </c>
    </row>
    <row r="3" spans="1:18" x14ac:dyDescent="0.55000000000000004">
      <c r="A3" s="10" t="s">
        <v>33</v>
      </c>
      <c r="B3" s="10" t="s">
        <v>34</v>
      </c>
      <c r="C3" s="10" t="s">
        <v>35</v>
      </c>
      <c r="D3" s="10" t="s">
        <v>36</v>
      </c>
      <c r="E3" s="10">
        <v>1</v>
      </c>
      <c r="F3" s="10">
        <v>196</v>
      </c>
      <c r="G3" s="10">
        <v>21</v>
      </c>
      <c r="H3" s="10">
        <v>32</v>
      </c>
      <c r="I3" s="11">
        <v>5.6</v>
      </c>
      <c r="J3" s="12">
        <v>0.52500000000000002</v>
      </c>
      <c r="K3" s="11">
        <v>3.38</v>
      </c>
      <c r="L3" s="10">
        <v>180</v>
      </c>
      <c r="M3" s="10">
        <v>733</v>
      </c>
      <c r="N3" s="10">
        <f>IF(G3&lt;=Cutoffs!$B$4,4,IF(G3&lt;=Cutoffs!$C$4,3,IF(G3&lt;=Cutoffs!$D$4,2,1)))</f>
        <v>2</v>
      </c>
      <c r="O3" s="10">
        <f>IF(F3&gt;=Cutoffs!$D$5,4,IF(F3&gt;=Cutoffs!$C$5,3,IF(F3&gt;=Cutoffs!$B$5,2,1)))</f>
        <v>4</v>
      </c>
      <c r="P3" s="10">
        <f>IF(H3&gt;=Cutoffs!$D$6,4,IF(H3&gt;=Cutoffs!$C$6,3,IF(H3&gt;=Cutoffs!$B$6,2,1)))</f>
        <v>4</v>
      </c>
      <c r="Q3" s="10">
        <f t="shared" si="0"/>
        <v>10</v>
      </c>
      <c r="R3" s="10" t="str">
        <f t="shared" si="1"/>
        <v>At risk</v>
      </c>
    </row>
    <row r="4" spans="1:18" x14ac:dyDescent="0.55000000000000004">
      <c r="A4" s="10" t="s">
        <v>37</v>
      </c>
      <c r="B4" s="10" t="s">
        <v>38</v>
      </c>
      <c r="C4" s="10" t="s">
        <v>35</v>
      </c>
      <c r="D4" s="10" t="s">
        <v>39</v>
      </c>
      <c r="E4" s="10">
        <v>0</v>
      </c>
      <c r="F4" s="10">
        <v>42</v>
      </c>
      <c r="G4" s="10">
        <v>17</v>
      </c>
      <c r="H4" s="10">
        <v>14</v>
      </c>
      <c r="I4" s="11">
        <v>2.21</v>
      </c>
      <c r="J4" s="12">
        <v>0.52400000000000002</v>
      </c>
      <c r="K4" s="11">
        <v>2.98</v>
      </c>
      <c r="L4" s="10">
        <v>42</v>
      </c>
      <c r="M4" s="10">
        <v>553</v>
      </c>
      <c r="N4" s="10">
        <f>IF(G4&lt;=Cutoffs!$B$4,4,IF(G4&lt;=Cutoffs!$C$4,3,IF(G4&lt;=Cutoffs!$D$4,2,1)))</f>
        <v>2</v>
      </c>
      <c r="O4" s="10">
        <f>IF(F4&gt;=Cutoffs!$D$5,4,IF(F4&gt;=Cutoffs!$C$5,3,IF(F4&gt;=Cutoffs!$B$5,2,1)))</f>
        <v>1</v>
      </c>
      <c r="P4" s="10">
        <f>IF(H4&gt;=Cutoffs!$D$6,4,IF(H4&gt;=Cutoffs!$C$6,3,IF(H4&gt;=Cutoffs!$B$6,2,1)))</f>
        <v>2</v>
      </c>
      <c r="Q4" s="10">
        <f t="shared" si="0"/>
        <v>5</v>
      </c>
      <c r="R4" s="10" t="str">
        <f t="shared" si="1"/>
        <v>Cooling</v>
      </c>
    </row>
    <row r="5" spans="1:18" x14ac:dyDescent="0.55000000000000004">
      <c r="A5" s="10" t="s">
        <v>40</v>
      </c>
      <c r="B5" s="10" t="s">
        <v>38</v>
      </c>
      <c r="C5" s="10" t="s">
        <v>35</v>
      </c>
      <c r="D5" s="10" t="s">
        <v>41</v>
      </c>
      <c r="E5" s="10">
        <v>0</v>
      </c>
      <c r="F5" s="10">
        <v>37</v>
      </c>
      <c r="G5" s="10">
        <v>5</v>
      </c>
      <c r="H5" s="10">
        <v>13</v>
      </c>
      <c r="I5" s="11">
        <v>2.31</v>
      </c>
      <c r="J5" s="12">
        <v>0.56799999999999995</v>
      </c>
      <c r="K5" s="11">
        <v>3.27</v>
      </c>
      <c r="L5" s="10">
        <v>23</v>
      </c>
      <c r="M5" s="10">
        <v>129</v>
      </c>
      <c r="N5" s="10">
        <f>IF(G5&lt;=Cutoffs!$B$4,4,IF(G5&lt;=Cutoffs!$C$4,3,IF(G5&lt;=Cutoffs!$D$4,2,1)))</f>
        <v>3</v>
      </c>
      <c r="O5" s="10">
        <f>IF(F5&gt;=Cutoffs!$D$5,4,IF(F5&gt;=Cutoffs!$C$5,3,IF(F5&gt;=Cutoffs!$B$5,2,1)))</f>
        <v>1</v>
      </c>
      <c r="P5" s="10">
        <f>IF(H5&gt;=Cutoffs!$D$6,4,IF(H5&gt;=Cutoffs!$C$6,3,IF(H5&gt;=Cutoffs!$B$6,2,1)))</f>
        <v>2</v>
      </c>
      <c r="Q5" s="10">
        <f t="shared" si="0"/>
        <v>6</v>
      </c>
      <c r="R5" s="10" t="str">
        <f t="shared" si="1"/>
        <v>Promising</v>
      </c>
    </row>
    <row r="6" spans="1:18" x14ac:dyDescent="0.55000000000000004">
      <c r="A6" s="10" t="s">
        <v>42</v>
      </c>
      <c r="B6" s="10" t="s">
        <v>43</v>
      </c>
      <c r="C6" s="10" t="s">
        <v>31</v>
      </c>
      <c r="D6" s="10" t="s">
        <v>44</v>
      </c>
      <c r="E6" s="10">
        <v>0</v>
      </c>
      <c r="F6" s="10">
        <v>117</v>
      </c>
      <c r="G6" s="10">
        <v>0</v>
      </c>
      <c r="H6" s="10">
        <v>11</v>
      </c>
      <c r="I6" s="11">
        <v>2.44</v>
      </c>
      <c r="J6" s="12">
        <v>0.46200000000000002</v>
      </c>
      <c r="K6" s="11">
        <v>2.57</v>
      </c>
      <c r="L6" s="10">
        <v>19</v>
      </c>
      <c r="M6" s="10">
        <v>139</v>
      </c>
      <c r="N6" s="10">
        <f>IF(G6&lt;=Cutoffs!$B$4,4,IF(G6&lt;=Cutoffs!$C$4,3,IF(G6&lt;=Cutoffs!$D$4,2,1)))</f>
        <v>4</v>
      </c>
      <c r="O6" s="10">
        <f>IF(F6&gt;=Cutoffs!$D$5,4,IF(F6&gt;=Cutoffs!$C$5,3,IF(F6&gt;=Cutoffs!$B$5,2,1)))</f>
        <v>3</v>
      </c>
      <c r="P6" s="10">
        <f>IF(H6&gt;=Cutoffs!$D$6,4,IF(H6&gt;=Cutoffs!$C$6,3,IF(H6&gt;=Cutoffs!$B$6,2,1)))</f>
        <v>2</v>
      </c>
      <c r="Q6" s="10">
        <f t="shared" si="0"/>
        <v>9</v>
      </c>
      <c r="R6" s="10" t="str">
        <f t="shared" si="1"/>
        <v>Champions</v>
      </c>
    </row>
    <row r="7" spans="1:18" x14ac:dyDescent="0.55000000000000004">
      <c r="A7" s="10" t="s">
        <v>45</v>
      </c>
      <c r="B7" s="10" t="s">
        <v>38</v>
      </c>
      <c r="C7" s="10" t="s">
        <v>35</v>
      </c>
      <c r="D7" s="10" t="s">
        <v>39</v>
      </c>
      <c r="E7" s="10">
        <v>0</v>
      </c>
      <c r="F7" s="10">
        <v>30</v>
      </c>
      <c r="G7" s="10">
        <v>58</v>
      </c>
      <c r="H7" s="10">
        <v>3</v>
      </c>
      <c r="I7" s="11">
        <v>4.29</v>
      </c>
      <c r="J7" s="12">
        <v>0.5</v>
      </c>
      <c r="K7" s="11">
        <v>5.25</v>
      </c>
      <c r="L7" s="10">
        <v>4</v>
      </c>
      <c r="M7" s="10">
        <v>57</v>
      </c>
      <c r="N7" s="10">
        <f>IF(G7&lt;=Cutoffs!$B$4,4,IF(G7&lt;=Cutoffs!$C$4,3,IF(G7&lt;=Cutoffs!$D$4,2,1)))</f>
        <v>1</v>
      </c>
      <c r="O7" s="10">
        <f>IF(F7&gt;=Cutoffs!$D$5,4,IF(F7&gt;=Cutoffs!$C$5,3,IF(F7&gt;=Cutoffs!$B$5,2,1)))</f>
        <v>1</v>
      </c>
      <c r="P7" s="10">
        <f>IF(H7&gt;=Cutoffs!$D$6,4,IF(H7&gt;=Cutoffs!$C$6,3,IF(H7&gt;=Cutoffs!$B$6,2,1)))</f>
        <v>1</v>
      </c>
      <c r="Q7" s="10">
        <f t="shared" si="0"/>
        <v>3</v>
      </c>
      <c r="R7" s="10" t="str">
        <f t="shared" si="1"/>
        <v>Dormant</v>
      </c>
    </row>
    <row r="8" spans="1:18" x14ac:dyDescent="0.55000000000000004">
      <c r="A8" s="10" t="s">
        <v>46</v>
      </c>
      <c r="B8" s="10" t="s">
        <v>47</v>
      </c>
      <c r="C8" s="10" t="s">
        <v>35</v>
      </c>
      <c r="D8" s="10" t="s">
        <v>36</v>
      </c>
      <c r="E8" s="10">
        <v>0</v>
      </c>
      <c r="F8" s="10">
        <v>124</v>
      </c>
      <c r="G8" s="10">
        <v>9</v>
      </c>
      <c r="H8" s="10">
        <v>30</v>
      </c>
      <c r="I8" s="11">
        <v>4.13</v>
      </c>
      <c r="J8" s="12">
        <v>0.5</v>
      </c>
      <c r="K8" s="11">
        <v>3.87</v>
      </c>
      <c r="L8" s="10">
        <v>34</v>
      </c>
      <c r="M8" s="10">
        <v>95</v>
      </c>
      <c r="N8" s="10">
        <f>IF(G8&lt;=Cutoffs!$B$4,4,IF(G8&lt;=Cutoffs!$C$4,3,IF(G8&lt;=Cutoffs!$D$4,2,1)))</f>
        <v>2</v>
      </c>
      <c r="O8" s="10">
        <f>IF(F8&gt;=Cutoffs!$D$5,4,IF(F8&gt;=Cutoffs!$C$5,3,IF(F8&gt;=Cutoffs!$B$5,2,1)))</f>
        <v>3</v>
      </c>
      <c r="P8" s="10">
        <f>IF(H8&gt;=Cutoffs!$D$6,4,IF(H8&gt;=Cutoffs!$C$6,3,IF(H8&gt;=Cutoffs!$B$6,2,1)))</f>
        <v>4</v>
      </c>
      <c r="Q8" s="10">
        <f t="shared" si="0"/>
        <v>9</v>
      </c>
      <c r="R8" s="10" t="str">
        <f t="shared" si="1"/>
        <v>At risk</v>
      </c>
    </row>
    <row r="9" spans="1:18" x14ac:dyDescent="0.55000000000000004">
      <c r="A9" s="10" t="s">
        <v>48</v>
      </c>
      <c r="B9" s="10" t="s">
        <v>47</v>
      </c>
      <c r="C9" s="10" t="s">
        <v>35</v>
      </c>
      <c r="D9" s="10" t="s">
        <v>39</v>
      </c>
      <c r="E9" s="10">
        <v>1</v>
      </c>
      <c r="F9" s="10">
        <v>67</v>
      </c>
      <c r="G9" s="10">
        <v>3</v>
      </c>
      <c r="H9" s="10">
        <v>9</v>
      </c>
      <c r="I9" s="11">
        <v>2.23</v>
      </c>
      <c r="J9" s="12">
        <v>0.53700000000000003</v>
      </c>
      <c r="K9" s="11">
        <v>3.25</v>
      </c>
      <c r="L9" s="10">
        <v>-5</v>
      </c>
      <c r="M9" s="10">
        <v>321</v>
      </c>
      <c r="N9" s="10">
        <f>IF(G9&lt;=Cutoffs!$B$4,4,IF(G9&lt;=Cutoffs!$C$4,3,IF(G9&lt;=Cutoffs!$D$4,2,1)))</f>
        <v>3</v>
      </c>
      <c r="O9" s="10">
        <f>IF(F9&gt;=Cutoffs!$D$5,4,IF(F9&gt;=Cutoffs!$C$5,3,IF(F9&gt;=Cutoffs!$B$5,2,1)))</f>
        <v>2</v>
      </c>
      <c r="P9" s="10">
        <f>IF(H9&gt;=Cutoffs!$D$6,4,IF(H9&gt;=Cutoffs!$C$6,3,IF(H9&gt;=Cutoffs!$B$6,2,1)))</f>
        <v>1</v>
      </c>
      <c r="Q9" s="10">
        <f t="shared" si="0"/>
        <v>6</v>
      </c>
      <c r="R9" s="10" t="str">
        <f t="shared" si="1"/>
        <v>Promising</v>
      </c>
    </row>
    <row r="10" spans="1:18" x14ac:dyDescent="0.55000000000000004">
      <c r="A10" s="10" t="s">
        <v>49</v>
      </c>
      <c r="B10" s="10" t="s">
        <v>34</v>
      </c>
      <c r="C10" s="10" t="s">
        <v>35</v>
      </c>
      <c r="D10" s="10" t="s">
        <v>32</v>
      </c>
      <c r="E10" s="10">
        <v>0</v>
      </c>
      <c r="F10" s="10">
        <v>55</v>
      </c>
      <c r="G10" s="10">
        <v>4</v>
      </c>
      <c r="H10" s="10">
        <v>24</v>
      </c>
      <c r="I10" s="11">
        <v>2.29</v>
      </c>
      <c r="J10" s="12">
        <v>0.49099999999999999</v>
      </c>
      <c r="K10" s="11">
        <v>2.85</v>
      </c>
      <c r="L10" s="10">
        <v>33</v>
      </c>
      <c r="M10" s="10">
        <v>428</v>
      </c>
      <c r="N10" s="10">
        <f>IF(G10&lt;=Cutoffs!$B$4,4,IF(G10&lt;=Cutoffs!$C$4,3,IF(G10&lt;=Cutoffs!$D$4,2,1)))</f>
        <v>3</v>
      </c>
      <c r="O10" s="10">
        <f>IF(F10&gt;=Cutoffs!$D$5,4,IF(F10&gt;=Cutoffs!$C$5,3,IF(F10&gt;=Cutoffs!$B$5,2,1)))</f>
        <v>2</v>
      </c>
      <c r="P10" s="10">
        <f>IF(H10&gt;=Cutoffs!$D$6,4,IF(H10&gt;=Cutoffs!$C$6,3,IF(H10&gt;=Cutoffs!$B$6,2,1)))</f>
        <v>3</v>
      </c>
      <c r="Q10" s="10">
        <f t="shared" si="0"/>
        <v>8</v>
      </c>
      <c r="R10" s="10" t="str">
        <f t="shared" si="1"/>
        <v>Promising</v>
      </c>
    </row>
    <row r="11" spans="1:18" x14ac:dyDescent="0.55000000000000004">
      <c r="A11" s="10" t="s">
        <v>50</v>
      </c>
      <c r="B11" s="10" t="s">
        <v>34</v>
      </c>
      <c r="C11" s="10" t="s">
        <v>35</v>
      </c>
      <c r="D11" s="10" t="s">
        <v>36</v>
      </c>
      <c r="E11" s="10">
        <v>0</v>
      </c>
      <c r="F11" s="10">
        <v>48</v>
      </c>
      <c r="G11" s="10">
        <v>22</v>
      </c>
      <c r="H11" s="10">
        <v>7</v>
      </c>
      <c r="I11" s="11">
        <v>2.67</v>
      </c>
      <c r="J11" s="12">
        <v>0.625</v>
      </c>
      <c r="K11" s="11">
        <v>3.16</v>
      </c>
      <c r="L11" s="10">
        <v>22</v>
      </c>
      <c r="M11" s="10">
        <v>500</v>
      </c>
      <c r="N11" s="10">
        <f>IF(G11&lt;=Cutoffs!$B$4,4,IF(G11&lt;=Cutoffs!$C$4,3,IF(G11&lt;=Cutoffs!$D$4,2,1)))</f>
        <v>1</v>
      </c>
      <c r="O11" s="10">
        <f>IF(F11&gt;=Cutoffs!$D$5,4,IF(F11&gt;=Cutoffs!$C$5,3,IF(F11&gt;=Cutoffs!$B$5,2,1)))</f>
        <v>1</v>
      </c>
      <c r="P11" s="10">
        <f>IF(H11&gt;=Cutoffs!$D$6,4,IF(H11&gt;=Cutoffs!$C$6,3,IF(H11&gt;=Cutoffs!$B$6,2,1)))</f>
        <v>1</v>
      </c>
      <c r="Q11" s="10">
        <f t="shared" si="0"/>
        <v>3</v>
      </c>
      <c r="R11" s="10" t="str">
        <f t="shared" si="1"/>
        <v>Dormant</v>
      </c>
    </row>
    <row r="12" spans="1:18" x14ac:dyDescent="0.55000000000000004">
      <c r="A12" s="10" t="s">
        <v>51</v>
      </c>
      <c r="B12" s="10" t="s">
        <v>38</v>
      </c>
      <c r="C12" s="10" t="s">
        <v>35</v>
      </c>
      <c r="D12" s="10" t="s">
        <v>36</v>
      </c>
      <c r="E12" s="10">
        <v>0</v>
      </c>
      <c r="F12" s="10">
        <v>109</v>
      </c>
      <c r="G12" s="10">
        <v>8</v>
      </c>
      <c r="H12" s="10">
        <v>8</v>
      </c>
      <c r="I12" s="11">
        <v>3.11</v>
      </c>
      <c r="J12" s="12">
        <v>0.505</v>
      </c>
      <c r="K12" s="11">
        <v>4.47</v>
      </c>
      <c r="L12" s="10">
        <v>73</v>
      </c>
      <c r="M12" s="10">
        <v>380</v>
      </c>
      <c r="N12" s="10">
        <f>IF(G12&lt;=Cutoffs!$B$4,4,IF(G12&lt;=Cutoffs!$C$4,3,IF(G12&lt;=Cutoffs!$D$4,2,1)))</f>
        <v>2</v>
      </c>
      <c r="O12" s="10">
        <f>IF(F12&gt;=Cutoffs!$D$5,4,IF(F12&gt;=Cutoffs!$C$5,3,IF(F12&gt;=Cutoffs!$B$5,2,1)))</f>
        <v>3</v>
      </c>
      <c r="P12" s="10">
        <f>IF(H12&gt;=Cutoffs!$D$6,4,IF(H12&gt;=Cutoffs!$C$6,3,IF(H12&gt;=Cutoffs!$B$6,2,1)))</f>
        <v>1</v>
      </c>
      <c r="Q12" s="10">
        <f t="shared" si="0"/>
        <v>6</v>
      </c>
      <c r="R12" s="10" t="str">
        <f t="shared" si="1"/>
        <v>At risk</v>
      </c>
    </row>
    <row r="13" spans="1:18" x14ac:dyDescent="0.55000000000000004">
      <c r="A13" s="10" t="s">
        <v>52</v>
      </c>
      <c r="B13" s="10" t="s">
        <v>43</v>
      </c>
      <c r="C13" s="10" t="s">
        <v>31</v>
      </c>
      <c r="D13" s="10" t="s">
        <v>44</v>
      </c>
      <c r="E13" s="10">
        <v>0</v>
      </c>
      <c r="F13" s="10">
        <v>153</v>
      </c>
      <c r="G13" s="10">
        <v>2</v>
      </c>
      <c r="H13" s="10">
        <v>56</v>
      </c>
      <c r="I13" s="11">
        <v>2.78</v>
      </c>
      <c r="J13" s="12">
        <v>0.46400000000000002</v>
      </c>
      <c r="K13" s="11">
        <v>3.48</v>
      </c>
      <c r="L13" s="10">
        <v>3</v>
      </c>
      <c r="M13" s="10">
        <v>496</v>
      </c>
      <c r="N13" s="10">
        <f>IF(G13&lt;=Cutoffs!$B$4,4,IF(G13&lt;=Cutoffs!$C$4,3,IF(G13&lt;=Cutoffs!$D$4,2,1)))</f>
        <v>3</v>
      </c>
      <c r="O13" s="10">
        <f>IF(F13&gt;=Cutoffs!$D$5,4,IF(F13&gt;=Cutoffs!$C$5,3,IF(F13&gt;=Cutoffs!$B$5,2,1)))</f>
        <v>3</v>
      </c>
      <c r="P13" s="10">
        <f>IF(H13&gt;=Cutoffs!$D$6,4,IF(H13&gt;=Cutoffs!$C$6,3,IF(H13&gt;=Cutoffs!$B$6,2,1)))</f>
        <v>4</v>
      </c>
      <c r="Q13" s="10">
        <f t="shared" si="0"/>
        <v>10</v>
      </c>
      <c r="R13" s="10" t="str">
        <f t="shared" si="1"/>
        <v>Champions</v>
      </c>
    </row>
    <row r="14" spans="1:18" x14ac:dyDescent="0.55000000000000004">
      <c r="A14" s="10" t="s">
        <v>53</v>
      </c>
      <c r="B14" s="10" t="s">
        <v>47</v>
      </c>
      <c r="C14" s="10" t="s">
        <v>35</v>
      </c>
      <c r="D14" s="10" t="s">
        <v>44</v>
      </c>
      <c r="E14" s="10">
        <v>0</v>
      </c>
      <c r="F14" s="10">
        <v>194</v>
      </c>
      <c r="G14" s="10">
        <v>4</v>
      </c>
      <c r="H14" s="10">
        <v>22</v>
      </c>
      <c r="I14" s="11">
        <v>4.7300000000000004</v>
      </c>
      <c r="J14" s="12">
        <v>0.48399999999999999</v>
      </c>
      <c r="K14" s="11">
        <v>2.38</v>
      </c>
      <c r="L14" s="10">
        <v>42</v>
      </c>
      <c r="M14" s="10">
        <v>578</v>
      </c>
      <c r="N14" s="10">
        <f>IF(G14&lt;=Cutoffs!$B$4,4,IF(G14&lt;=Cutoffs!$C$4,3,IF(G14&lt;=Cutoffs!$D$4,2,1)))</f>
        <v>3</v>
      </c>
      <c r="O14" s="10">
        <f>IF(F14&gt;=Cutoffs!$D$5,4,IF(F14&gt;=Cutoffs!$C$5,3,IF(F14&gt;=Cutoffs!$B$5,2,1)))</f>
        <v>4</v>
      </c>
      <c r="P14" s="10">
        <f>IF(H14&gt;=Cutoffs!$D$6,4,IF(H14&gt;=Cutoffs!$C$6,3,IF(H14&gt;=Cutoffs!$B$6,2,1)))</f>
        <v>3</v>
      </c>
      <c r="Q14" s="10">
        <f t="shared" si="0"/>
        <v>10</v>
      </c>
      <c r="R14" s="10" t="str">
        <f t="shared" si="1"/>
        <v>Champions</v>
      </c>
    </row>
    <row r="15" spans="1:18" x14ac:dyDescent="0.55000000000000004">
      <c r="A15" s="10" t="s">
        <v>54</v>
      </c>
      <c r="B15" s="10" t="s">
        <v>34</v>
      </c>
      <c r="C15" s="10" t="s">
        <v>35</v>
      </c>
      <c r="D15" s="10" t="s">
        <v>44</v>
      </c>
      <c r="E15" s="10">
        <v>0</v>
      </c>
      <c r="F15" s="10">
        <v>40</v>
      </c>
      <c r="G15" s="10">
        <v>4</v>
      </c>
      <c r="H15" s="10">
        <v>15</v>
      </c>
      <c r="I15" s="11">
        <v>1.67</v>
      </c>
      <c r="J15" s="12">
        <v>0.42499999999999999</v>
      </c>
      <c r="K15" s="11">
        <v>1.67</v>
      </c>
      <c r="L15" s="10">
        <v>-6</v>
      </c>
      <c r="M15" s="10">
        <v>692</v>
      </c>
      <c r="N15" s="10">
        <f>IF(G15&lt;=Cutoffs!$B$4,4,IF(G15&lt;=Cutoffs!$C$4,3,IF(G15&lt;=Cutoffs!$D$4,2,1)))</f>
        <v>3</v>
      </c>
      <c r="O15" s="10">
        <f>IF(F15&gt;=Cutoffs!$D$5,4,IF(F15&gt;=Cutoffs!$C$5,3,IF(F15&gt;=Cutoffs!$B$5,2,1)))</f>
        <v>1</v>
      </c>
      <c r="P15" s="10">
        <f>IF(H15&gt;=Cutoffs!$D$6,4,IF(H15&gt;=Cutoffs!$C$6,3,IF(H15&gt;=Cutoffs!$B$6,2,1)))</f>
        <v>2</v>
      </c>
      <c r="Q15" s="10">
        <f t="shared" si="0"/>
        <v>6</v>
      </c>
      <c r="R15" s="10" t="str">
        <f t="shared" si="1"/>
        <v>Promising</v>
      </c>
    </row>
    <row r="16" spans="1:18" x14ac:dyDescent="0.55000000000000004">
      <c r="A16" s="10" t="s">
        <v>55</v>
      </c>
      <c r="B16" s="10" t="s">
        <v>38</v>
      </c>
      <c r="C16" s="10" t="s">
        <v>35</v>
      </c>
      <c r="D16" s="10" t="s">
        <v>44</v>
      </c>
      <c r="E16" s="10">
        <v>0</v>
      </c>
      <c r="F16" s="10">
        <v>194</v>
      </c>
      <c r="G16" s="10">
        <v>1</v>
      </c>
      <c r="H16" s="10">
        <v>26</v>
      </c>
      <c r="I16" s="11">
        <v>3.03</v>
      </c>
      <c r="J16" s="12">
        <v>0.49</v>
      </c>
      <c r="K16" s="11">
        <v>3.08</v>
      </c>
      <c r="L16" s="10">
        <v>92</v>
      </c>
      <c r="M16" s="10">
        <v>454</v>
      </c>
      <c r="N16" s="10">
        <f>IF(G16&lt;=Cutoffs!$B$4,4,IF(G16&lt;=Cutoffs!$C$4,3,IF(G16&lt;=Cutoffs!$D$4,2,1)))</f>
        <v>4</v>
      </c>
      <c r="O16" s="10">
        <f>IF(F16&gt;=Cutoffs!$D$5,4,IF(F16&gt;=Cutoffs!$C$5,3,IF(F16&gt;=Cutoffs!$B$5,2,1)))</f>
        <v>4</v>
      </c>
      <c r="P16" s="10">
        <f>IF(H16&gt;=Cutoffs!$D$6,4,IF(H16&gt;=Cutoffs!$C$6,3,IF(H16&gt;=Cutoffs!$B$6,2,1)))</f>
        <v>3</v>
      </c>
      <c r="Q16" s="10">
        <f t="shared" si="0"/>
        <v>11</v>
      </c>
      <c r="R16" s="10" t="str">
        <f t="shared" si="1"/>
        <v>Champions</v>
      </c>
    </row>
    <row r="17" spans="1:18" x14ac:dyDescent="0.55000000000000004">
      <c r="A17" s="10" t="s">
        <v>56</v>
      </c>
      <c r="B17" s="10" t="s">
        <v>34</v>
      </c>
      <c r="C17" s="10" t="s">
        <v>35</v>
      </c>
      <c r="D17" s="10" t="s">
        <v>36</v>
      </c>
      <c r="E17" s="10">
        <v>0</v>
      </c>
      <c r="F17" s="10">
        <v>159</v>
      </c>
      <c r="G17" s="10">
        <v>0</v>
      </c>
      <c r="H17" s="10">
        <v>15</v>
      </c>
      <c r="I17" s="11">
        <v>3.24</v>
      </c>
      <c r="J17" s="12">
        <v>0.49099999999999999</v>
      </c>
      <c r="K17" s="11">
        <v>3.14</v>
      </c>
      <c r="L17" s="10">
        <v>25</v>
      </c>
      <c r="M17" s="10">
        <v>893</v>
      </c>
      <c r="N17" s="10">
        <f>IF(G17&lt;=Cutoffs!$B$4,4,IF(G17&lt;=Cutoffs!$C$4,3,IF(G17&lt;=Cutoffs!$D$4,2,1)))</f>
        <v>4</v>
      </c>
      <c r="O17" s="10">
        <f>IF(F17&gt;=Cutoffs!$D$5,4,IF(F17&gt;=Cutoffs!$C$5,3,IF(F17&gt;=Cutoffs!$B$5,2,1)))</f>
        <v>4</v>
      </c>
      <c r="P17" s="10">
        <f>IF(H17&gt;=Cutoffs!$D$6,4,IF(H17&gt;=Cutoffs!$C$6,3,IF(H17&gt;=Cutoffs!$B$6,2,1)))</f>
        <v>2</v>
      </c>
      <c r="Q17" s="10">
        <f t="shared" si="0"/>
        <v>10</v>
      </c>
      <c r="R17" s="10" t="str">
        <f t="shared" si="1"/>
        <v>Champions</v>
      </c>
    </row>
    <row r="18" spans="1:18" x14ac:dyDescent="0.55000000000000004">
      <c r="A18" s="10" t="s">
        <v>57</v>
      </c>
      <c r="B18" s="10" t="s">
        <v>58</v>
      </c>
      <c r="C18" s="10" t="s">
        <v>31</v>
      </c>
      <c r="D18" s="10" t="s">
        <v>39</v>
      </c>
      <c r="E18" s="10">
        <v>0</v>
      </c>
      <c r="F18" s="10">
        <v>87</v>
      </c>
      <c r="G18" s="10">
        <v>17</v>
      </c>
      <c r="H18" s="10">
        <v>5</v>
      </c>
      <c r="I18" s="11">
        <v>2.35</v>
      </c>
      <c r="J18" s="12">
        <v>0.44800000000000001</v>
      </c>
      <c r="K18" s="11">
        <v>3.37</v>
      </c>
      <c r="L18" s="10">
        <v>-9</v>
      </c>
      <c r="M18" s="10">
        <v>80</v>
      </c>
      <c r="N18" s="10">
        <f>IF(G18&lt;=Cutoffs!$B$4,4,IF(G18&lt;=Cutoffs!$C$4,3,IF(G18&lt;=Cutoffs!$D$4,2,1)))</f>
        <v>2</v>
      </c>
      <c r="O18" s="10">
        <f>IF(F18&gt;=Cutoffs!$D$5,4,IF(F18&gt;=Cutoffs!$C$5,3,IF(F18&gt;=Cutoffs!$B$5,2,1)))</f>
        <v>2</v>
      </c>
      <c r="P18" s="10">
        <f>IF(H18&gt;=Cutoffs!$D$6,4,IF(H18&gt;=Cutoffs!$C$6,3,IF(H18&gt;=Cutoffs!$B$6,2,1)))</f>
        <v>1</v>
      </c>
      <c r="Q18" s="10">
        <f t="shared" si="0"/>
        <v>5</v>
      </c>
      <c r="R18" s="10" t="str">
        <f t="shared" si="1"/>
        <v>Cooling</v>
      </c>
    </row>
    <row r="19" spans="1:18" x14ac:dyDescent="0.55000000000000004">
      <c r="A19" s="10" t="s">
        <v>59</v>
      </c>
      <c r="B19" s="10" t="s">
        <v>38</v>
      </c>
      <c r="C19" s="10" t="s">
        <v>35</v>
      </c>
      <c r="D19" s="10" t="s">
        <v>39</v>
      </c>
      <c r="E19" s="10">
        <v>0</v>
      </c>
      <c r="F19" s="10">
        <v>42</v>
      </c>
      <c r="G19" s="10">
        <v>8</v>
      </c>
      <c r="H19" s="10">
        <v>25</v>
      </c>
      <c r="I19" s="11">
        <v>1.91</v>
      </c>
      <c r="J19" s="12">
        <v>0.28599999999999998</v>
      </c>
      <c r="K19" s="11">
        <v>1.61</v>
      </c>
      <c r="L19" s="10">
        <v>6</v>
      </c>
      <c r="M19" s="10">
        <v>395</v>
      </c>
      <c r="N19" s="10">
        <f>IF(G19&lt;=Cutoffs!$B$4,4,IF(G19&lt;=Cutoffs!$C$4,3,IF(G19&lt;=Cutoffs!$D$4,2,1)))</f>
        <v>2</v>
      </c>
      <c r="O19" s="10">
        <f>IF(F19&gt;=Cutoffs!$D$5,4,IF(F19&gt;=Cutoffs!$C$5,3,IF(F19&gt;=Cutoffs!$B$5,2,1)))</f>
        <v>1</v>
      </c>
      <c r="P19" s="10">
        <f>IF(H19&gt;=Cutoffs!$D$6,4,IF(H19&gt;=Cutoffs!$C$6,3,IF(H19&gt;=Cutoffs!$B$6,2,1)))</f>
        <v>3</v>
      </c>
      <c r="Q19" s="10">
        <f t="shared" si="0"/>
        <v>6</v>
      </c>
      <c r="R19" s="10" t="str">
        <f t="shared" si="1"/>
        <v>Cooling</v>
      </c>
    </row>
    <row r="20" spans="1:18" x14ac:dyDescent="0.55000000000000004">
      <c r="A20" s="10" t="s">
        <v>60</v>
      </c>
      <c r="B20" s="10" t="s">
        <v>38</v>
      </c>
      <c r="C20" s="10" t="s">
        <v>35</v>
      </c>
      <c r="D20" s="10" t="s">
        <v>32</v>
      </c>
      <c r="E20" s="10">
        <v>0</v>
      </c>
      <c r="F20" s="10">
        <v>95</v>
      </c>
      <c r="G20" s="10">
        <v>1</v>
      </c>
      <c r="H20" s="10">
        <v>20</v>
      </c>
      <c r="I20" s="11">
        <v>5.28</v>
      </c>
      <c r="J20" s="12">
        <v>0.45300000000000001</v>
      </c>
      <c r="K20" s="11">
        <v>2.96</v>
      </c>
      <c r="L20" s="10">
        <v>95</v>
      </c>
      <c r="M20" s="10">
        <v>134</v>
      </c>
      <c r="N20" s="10">
        <f>IF(G20&lt;=Cutoffs!$B$4,4,IF(G20&lt;=Cutoffs!$C$4,3,IF(G20&lt;=Cutoffs!$D$4,2,1)))</f>
        <v>4</v>
      </c>
      <c r="O20" s="10">
        <f>IF(F20&gt;=Cutoffs!$D$5,4,IF(F20&gt;=Cutoffs!$C$5,3,IF(F20&gt;=Cutoffs!$B$5,2,1)))</f>
        <v>2</v>
      </c>
      <c r="P20" s="10">
        <f>IF(H20&gt;=Cutoffs!$D$6,4,IF(H20&gt;=Cutoffs!$C$6,3,IF(H20&gt;=Cutoffs!$B$6,2,1)))</f>
        <v>3</v>
      </c>
      <c r="Q20" s="10">
        <f t="shared" si="0"/>
        <v>9</v>
      </c>
      <c r="R20" s="10" t="str">
        <f t="shared" si="1"/>
        <v>Promising</v>
      </c>
    </row>
    <row r="21" spans="1:18" x14ac:dyDescent="0.55000000000000004">
      <c r="A21" s="10" t="s">
        <v>61</v>
      </c>
      <c r="B21" s="10" t="s">
        <v>30</v>
      </c>
      <c r="C21" s="10" t="s">
        <v>31</v>
      </c>
      <c r="D21" s="10" t="s">
        <v>36</v>
      </c>
      <c r="E21" s="10">
        <v>0</v>
      </c>
      <c r="F21" s="10">
        <v>96</v>
      </c>
      <c r="G21" s="10">
        <v>4</v>
      </c>
      <c r="H21" s="10">
        <v>34</v>
      </c>
      <c r="I21" s="11">
        <v>2.46</v>
      </c>
      <c r="J21" s="12">
        <v>0.51</v>
      </c>
      <c r="K21" s="11">
        <v>1.93</v>
      </c>
      <c r="L21" s="10">
        <v>-26</v>
      </c>
      <c r="M21" s="10">
        <v>292</v>
      </c>
      <c r="N21" s="10">
        <f>IF(G21&lt;=Cutoffs!$B$4,4,IF(G21&lt;=Cutoffs!$C$4,3,IF(G21&lt;=Cutoffs!$D$4,2,1)))</f>
        <v>3</v>
      </c>
      <c r="O21" s="10">
        <f>IF(F21&gt;=Cutoffs!$D$5,4,IF(F21&gt;=Cutoffs!$C$5,3,IF(F21&gt;=Cutoffs!$B$5,2,1)))</f>
        <v>3</v>
      </c>
      <c r="P21" s="10">
        <f>IF(H21&gt;=Cutoffs!$D$6,4,IF(H21&gt;=Cutoffs!$C$6,3,IF(H21&gt;=Cutoffs!$B$6,2,1)))</f>
        <v>4</v>
      </c>
      <c r="Q21" s="10">
        <f t="shared" si="0"/>
        <v>10</v>
      </c>
      <c r="R21" s="10" t="str">
        <f t="shared" si="1"/>
        <v>Champions</v>
      </c>
    </row>
    <row r="22" spans="1:18" x14ac:dyDescent="0.55000000000000004">
      <c r="A22" s="10" t="s">
        <v>62</v>
      </c>
      <c r="B22" s="10" t="s">
        <v>34</v>
      </c>
      <c r="C22" s="10" t="s">
        <v>35</v>
      </c>
      <c r="D22" s="10" t="s">
        <v>39</v>
      </c>
      <c r="E22" s="10">
        <v>0</v>
      </c>
      <c r="F22" s="10">
        <v>59</v>
      </c>
      <c r="G22" s="10">
        <v>11</v>
      </c>
      <c r="H22" s="10">
        <v>14</v>
      </c>
      <c r="I22" s="11">
        <v>5.36</v>
      </c>
      <c r="J22" s="12">
        <v>0.52500000000000002</v>
      </c>
      <c r="K22" s="11">
        <v>2.65</v>
      </c>
      <c r="L22" s="10">
        <v>59</v>
      </c>
      <c r="M22" s="10">
        <v>40</v>
      </c>
      <c r="N22" s="10">
        <f>IF(G22&lt;=Cutoffs!$B$4,4,IF(G22&lt;=Cutoffs!$C$4,3,IF(G22&lt;=Cutoffs!$D$4,2,1)))</f>
        <v>2</v>
      </c>
      <c r="O22" s="10">
        <f>IF(F22&gt;=Cutoffs!$D$5,4,IF(F22&gt;=Cutoffs!$C$5,3,IF(F22&gt;=Cutoffs!$B$5,2,1)))</f>
        <v>2</v>
      </c>
      <c r="P22" s="10">
        <f>IF(H22&gt;=Cutoffs!$D$6,4,IF(H22&gt;=Cutoffs!$C$6,3,IF(H22&gt;=Cutoffs!$B$6,2,1)))</f>
        <v>2</v>
      </c>
      <c r="Q22" s="10">
        <f t="shared" si="0"/>
        <v>6</v>
      </c>
      <c r="R22" s="10" t="str">
        <f t="shared" si="1"/>
        <v>Cooling</v>
      </c>
    </row>
    <row r="23" spans="1:18" x14ac:dyDescent="0.55000000000000004">
      <c r="A23" s="10" t="s">
        <v>63</v>
      </c>
      <c r="B23" s="10" t="s">
        <v>43</v>
      </c>
      <c r="C23" s="10" t="s">
        <v>31</v>
      </c>
      <c r="D23" s="10" t="s">
        <v>39</v>
      </c>
      <c r="E23" s="10">
        <v>0</v>
      </c>
      <c r="F23" s="10">
        <v>144</v>
      </c>
      <c r="G23" s="10">
        <v>48</v>
      </c>
      <c r="H23" s="10">
        <v>40</v>
      </c>
      <c r="I23" s="11">
        <v>3</v>
      </c>
      <c r="J23" s="12">
        <v>0.46500000000000002</v>
      </c>
      <c r="K23" s="11">
        <v>3.41</v>
      </c>
      <c r="L23" s="10">
        <v>-132</v>
      </c>
      <c r="M23" s="10">
        <v>231</v>
      </c>
      <c r="N23" s="10">
        <f>IF(G23&lt;=Cutoffs!$B$4,4,IF(G23&lt;=Cutoffs!$C$4,3,IF(G23&lt;=Cutoffs!$D$4,2,1)))</f>
        <v>1</v>
      </c>
      <c r="O23" s="10">
        <f>IF(F23&gt;=Cutoffs!$D$5,4,IF(F23&gt;=Cutoffs!$C$5,3,IF(F23&gt;=Cutoffs!$B$5,2,1)))</f>
        <v>3</v>
      </c>
      <c r="P23" s="10">
        <f>IF(H23&gt;=Cutoffs!$D$6,4,IF(H23&gt;=Cutoffs!$C$6,3,IF(H23&gt;=Cutoffs!$B$6,2,1)))</f>
        <v>4</v>
      </c>
      <c r="Q23" s="10">
        <f t="shared" si="0"/>
        <v>8</v>
      </c>
      <c r="R23" s="10" t="str">
        <f t="shared" si="1"/>
        <v>At risk</v>
      </c>
    </row>
    <row r="24" spans="1:18" x14ac:dyDescent="0.55000000000000004">
      <c r="A24" s="10" t="s">
        <v>64</v>
      </c>
      <c r="B24" s="10" t="s">
        <v>43</v>
      </c>
      <c r="C24" s="10" t="s">
        <v>31</v>
      </c>
      <c r="D24" s="10" t="s">
        <v>36</v>
      </c>
      <c r="E24" s="10">
        <v>0</v>
      </c>
      <c r="F24" s="10">
        <v>107</v>
      </c>
      <c r="G24" s="10">
        <v>8</v>
      </c>
      <c r="H24" s="10">
        <v>62</v>
      </c>
      <c r="I24" s="11">
        <v>2.1800000000000002</v>
      </c>
      <c r="J24" s="12">
        <v>0.43</v>
      </c>
      <c r="K24" s="11">
        <v>2.15</v>
      </c>
      <c r="L24" s="10">
        <v>-3</v>
      </c>
      <c r="M24" s="10">
        <v>382</v>
      </c>
      <c r="N24" s="10">
        <f>IF(G24&lt;=Cutoffs!$B$4,4,IF(G24&lt;=Cutoffs!$C$4,3,IF(G24&lt;=Cutoffs!$D$4,2,1)))</f>
        <v>2</v>
      </c>
      <c r="O24" s="10">
        <f>IF(F24&gt;=Cutoffs!$D$5,4,IF(F24&gt;=Cutoffs!$C$5,3,IF(F24&gt;=Cutoffs!$B$5,2,1)))</f>
        <v>3</v>
      </c>
      <c r="P24" s="10">
        <f>IF(H24&gt;=Cutoffs!$D$6,4,IF(H24&gt;=Cutoffs!$C$6,3,IF(H24&gt;=Cutoffs!$B$6,2,1)))</f>
        <v>4</v>
      </c>
      <c r="Q24" s="10">
        <f t="shared" si="0"/>
        <v>9</v>
      </c>
      <c r="R24" s="10" t="str">
        <f t="shared" si="1"/>
        <v>At risk</v>
      </c>
    </row>
    <row r="25" spans="1:18" x14ac:dyDescent="0.55000000000000004">
      <c r="A25" s="10" t="s">
        <v>65</v>
      </c>
      <c r="B25" s="10" t="s">
        <v>58</v>
      </c>
      <c r="C25" s="10" t="s">
        <v>31</v>
      </c>
      <c r="D25" s="10" t="s">
        <v>41</v>
      </c>
      <c r="E25" s="10">
        <v>0</v>
      </c>
      <c r="F25" s="10">
        <v>53</v>
      </c>
      <c r="G25" s="10">
        <v>1</v>
      </c>
      <c r="H25" s="10">
        <v>9</v>
      </c>
      <c r="I25" s="11">
        <v>2.52</v>
      </c>
      <c r="J25" s="12">
        <v>0.35799999999999998</v>
      </c>
      <c r="K25" s="11">
        <v>2.57</v>
      </c>
      <c r="L25" s="10">
        <v>-7</v>
      </c>
      <c r="M25" s="10">
        <v>73</v>
      </c>
      <c r="N25" s="10">
        <f>IF(G25&lt;=Cutoffs!$B$4,4,IF(G25&lt;=Cutoffs!$C$4,3,IF(G25&lt;=Cutoffs!$D$4,2,1)))</f>
        <v>4</v>
      </c>
      <c r="O25" s="10">
        <f>IF(F25&gt;=Cutoffs!$D$5,4,IF(F25&gt;=Cutoffs!$C$5,3,IF(F25&gt;=Cutoffs!$B$5,2,1)))</f>
        <v>2</v>
      </c>
      <c r="P25" s="10">
        <f>IF(H25&gt;=Cutoffs!$D$6,4,IF(H25&gt;=Cutoffs!$C$6,3,IF(H25&gt;=Cutoffs!$B$6,2,1)))</f>
        <v>1</v>
      </c>
      <c r="Q25" s="10">
        <f t="shared" si="0"/>
        <v>7</v>
      </c>
      <c r="R25" s="10" t="str">
        <f t="shared" si="1"/>
        <v>Promising</v>
      </c>
    </row>
    <row r="26" spans="1:18" x14ac:dyDescent="0.55000000000000004">
      <c r="A26" s="10" t="s">
        <v>66</v>
      </c>
      <c r="B26" s="10" t="s">
        <v>30</v>
      </c>
      <c r="C26" s="10" t="s">
        <v>31</v>
      </c>
      <c r="D26" s="10" t="s">
        <v>41</v>
      </c>
      <c r="E26" s="10">
        <v>0</v>
      </c>
      <c r="F26" s="10">
        <v>113</v>
      </c>
      <c r="G26" s="10">
        <v>6</v>
      </c>
      <c r="H26" s="10">
        <v>19</v>
      </c>
      <c r="I26" s="11">
        <v>2.0499999999999998</v>
      </c>
      <c r="J26" s="12">
        <v>0.496</v>
      </c>
      <c r="K26" s="11">
        <v>2.97</v>
      </c>
      <c r="L26" s="10">
        <v>5</v>
      </c>
      <c r="M26" s="10">
        <v>325</v>
      </c>
      <c r="N26" s="10">
        <f>IF(G26&lt;=Cutoffs!$B$4,4,IF(G26&lt;=Cutoffs!$C$4,3,IF(G26&lt;=Cutoffs!$D$4,2,1)))</f>
        <v>3</v>
      </c>
      <c r="O26" s="10">
        <f>IF(F26&gt;=Cutoffs!$D$5,4,IF(F26&gt;=Cutoffs!$C$5,3,IF(F26&gt;=Cutoffs!$B$5,2,1)))</f>
        <v>3</v>
      </c>
      <c r="P26" s="10">
        <f>IF(H26&gt;=Cutoffs!$D$6,4,IF(H26&gt;=Cutoffs!$C$6,3,IF(H26&gt;=Cutoffs!$B$6,2,1)))</f>
        <v>2</v>
      </c>
      <c r="Q26" s="10">
        <f t="shared" si="0"/>
        <v>8</v>
      </c>
      <c r="R26" s="10" t="str">
        <f t="shared" si="1"/>
        <v>Champions</v>
      </c>
    </row>
    <row r="27" spans="1:18" x14ac:dyDescent="0.55000000000000004">
      <c r="A27" s="10" t="s">
        <v>67</v>
      </c>
      <c r="B27" s="10" t="s">
        <v>43</v>
      </c>
      <c r="C27" s="10" t="s">
        <v>31</v>
      </c>
      <c r="D27" s="10" t="s">
        <v>44</v>
      </c>
      <c r="E27" s="10">
        <v>1</v>
      </c>
      <c r="F27" s="10">
        <v>72</v>
      </c>
      <c r="G27" s="10">
        <v>51</v>
      </c>
      <c r="H27" s="10">
        <v>8</v>
      </c>
      <c r="I27" s="11">
        <v>3</v>
      </c>
      <c r="J27" s="12">
        <v>0.45800000000000002</v>
      </c>
      <c r="K27" s="11">
        <v>4.6399999999999997</v>
      </c>
      <c r="L27" s="10">
        <v>-70</v>
      </c>
      <c r="M27" s="10">
        <v>77</v>
      </c>
      <c r="N27" s="10">
        <f>IF(G27&lt;=Cutoffs!$B$4,4,IF(G27&lt;=Cutoffs!$C$4,3,IF(G27&lt;=Cutoffs!$D$4,2,1)))</f>
        <v>1</v>
      </c>
      <c r="O27" s="10">
        <f>IF(F27&gt;=Cutoffs!$D$5,4,IF(F27&gt;=Cutoffs!$C$5,3,IF(F27&gt;=Cutoffs!$B$5,2,1)))</f>
        <v>2</v>
      </c>
      <c r="P27" s="10">
        <f>IF(H27&gt;=Cutoffs!$D$6,4,IF(H27&gt;=Cutoffs!$C$6,3,IF(H27&gt;=Cutoffs!$B$6,2,1)))</f>
        <v>1</v>
      </c>
      <c r="Q27" s="10">
        <f t="shared" si="0"/>
        <v>4</v>
      </c>
      <c r="R27" s="10" t="str">
        <f t="shared" si="1"/>
        <v>Dormant</v>
      </c>
    </row>
    <row r="28" spans="1:18" x14ac:dyDescent="0.55000000000000004">
      <c r="A28" s="10" t="s">
        <v>68</v>
      </c>
      <c r="B28" s="10" t="s">
        <v>47</v>
      </c>
      <c r="C28" s="10" t="s">
        <v>35</v>
      </c>
      <c r="D28" s="10" t="s">
        <v>39</v>
      </c>
      <c r="E28" s="10">
        <v>0</v>
      </c>
      <c r="F28" s="10">
        <v>204</v>
      </c>
      <c r="G28" s="10">
        <v>1</v>
      </c>
      <c r="H28" s="10">
        <v>25</v>
      </c>
      <c r="I28" s="11">
        <v>3.78</v>
      </c>
      <c r="J28" s="12">
        <v>0.49</v>
      </c>
      <c r="K28" s="11">
        <v>3.8</v>
      </c>
      <c r="L28" s="10">
        <v>118</v>
      </c>
      <c r="M28" s="10">
        <v>1072</v>
      </c>
      <c r="N28" s="10">
        <f>IF(G28&lt;=Cutoffs!$B$4,4,IF(G28&lt;=Cutoffs!$C$4,3,IF(G28&lt;=Cutoffs!$D$4,2,1)))</f>
        <v>4</v>
      </c>
      <c r="O28" s="10">
        <f>IF(F28&gt;=Cutoffs!$D$5,4,IF(F28&gt;=Cutoffs!$C$5,3,IF(F28&gt;=Cutoffs!$B$5,2,1)))</f>
        <v>4</v>
      </c>
      <c r="P28" s="10">
        <f>IF(H28&gt;=Cutoffs!$D$6,4,IF(H28&gt;=Cutoffs!$C$6,3,IF(H28&gt;=Cutoffs!$B$6,2,1)))</f>
        <v>3</v>
      </c>
      <c r="Q28" s="10">
        <f t="shared" si="0"/>
        <v>11</v>
      </c>
      <c r="R28" s="10" t="str">
        <f t="shared" si="1"/>
        <v>Champions</v>
      </c>
    </row>
    <row r="29" spans="1:18" x14ac:dyDescent="0.55000000000000004">
      <c r="A29" s="10" t="s">
        <v>69</v>
      </c>
      <c r="B29" s="10" t="s">
        <v>34</v>
      </c>
      <c r="C29" s="10" t="s">
        <v>35</v>
      </c>
      <c r="D29" s="10" t="s">
        <v>39</v>
      </c>
      <c r="E29" s="10">
        <v>0</v>
      </c>
      <c r="F29" s="10">
        <v>55</v>
      </c>
      <c r="G29" s="10">
        <v>26</v>
      </c>
      <c r="H29" s="10">
        <v>23</v>
      </c>
      <c r="I29" s="11">
        <v>1.9</v>
      </c>
      <c r="J29" s="12">
        <v>0.50900000000000001</v>
      </c>
      <c r="K29" s="11">
        <v>3.1</v>
      </c>
      <c r="L29" s="10">
        <v>13</v>
      </c>
      <c r="M29" s="10">
        <v>467</v>
      </c>
      <c r="N29" s="10">
        <f>IF(G29&lt;=Cutoffs!$B$4,4,IF(G29&lt;=Cutoffs!$C$4,3,IF(G29&lt;=Cutoffs!$D$4,2,1)))</f>
        <v>1</v>
      </c>
      <c r="O29" s="10">
        <f>IF(F29&gt;=Cutoffs!$D$5,4,IF(F29&gt;=Cutoffs!$C$5,3,IF(F29&gt;=Cutoffs!$B$5,2,1)))</f>
        <v>2</v>
      </c>
      <c r="P29" s="10">
        <f>IF(H29&gt;=Cutoffs!$D$6,4,IF(H29&gt;=Cutoffs!$C$6,3,IF(H29&gt;=Cutoffs!$B$6,2,1)))</f>
        <v>3</v>
      </c>
      <c r="Q29" s="10">
        <f t="shared" si="0"/>
        <v>6</v>
      </c>
      <c r="R29" s="10" t="str">
        <f t="shared" si="1"/>
        <v>Dormant</v>
      </c>
    </row>
    <row r="30" spans="1:18" x14ac:dyDescent="0.55000000000000004">
      <c r="A30" s="10" t="s">
        <v>70</v>
      </c>
      <c r="B30" s="10" t="s">
        <v>47</v>
      </c>
      <c r="C30" s="10" t="s">
        <v>35</v>
      </c>
      <c r="D30" s="10" t="s">
        <v>36</v>
      </c>
      <c r="E30" s="10">
        <v>0</v>
      </c>
      <c r="F30" s="10">
        <v>200</v>
      </c>
      <c r="G30" s="10">
        <v>11</v>
      </c>
      <c r="H30" s="10">
        <v>6</v>
      </c>
      <c r="I30" s="11">
        <v>5.13</v>
      </c>
      <c r="J30" s="12">
        <v>0.56000000000000005</v>
      </c>
      <c r="K30" s="11">
        <v>3.14</v>
      </c>
      <c r="L30" s="10">
        <v>200</v>
      </c>
      <c r="M30" s="10">
        <v>368</v>
      </c>
      <c r="N30" s="10">
        <f>IF(G30&lt;=Cutoffs!$B$4,4,IF(G30&lt;=Cutoffs!$C$4,3,IF(G30&lt;=Cutoffs!$D$4,2,1)))</f>
        <v>2</v>
      </c>
      <c r="O30" s="10">
        <f>IF(F30&gt;=Cutoffs!$D$5,4,IF(F30&gt;=Cutoffs!$C$5,3,IF(F30&gt;=Cutoffs!$B$5,2,1)))</f>
        <v>4</v>
      </c>
      <c r="P30" s="10">
        <f>IF(H30&gt;=Cutoffs!$D$6,4,IF(H30&gt;=Cutoffs!$C$6,3,IF(H30&gt;=Cutoffs!$B$6,2,1)))</f>
        <v>1</v>
      </c>
      <c r="Q30" s="10">
        <f t="shared" si="0"/>
        <v>7</v>
      </c>
      <c r="R30" s="10" t="str">
        <f t="shared" si="1"/>
        <v>At risk</v>
      </c>
    </row>
    <row r="31" spans="1:18" x14ac:dyDescent="0.55000000000000004">
      <c r="A31" s="10" t="s">
        <v>71</v>
      </c>
      <c r="B31" s="10" t="s">
        <v>58</v>
      </c>
      <c r="C31" s="10" t="s">
        <v>31</v>
      </c>
      <c r="D31" s="10" t="s">
        <v>39</v>
      </c>
      <c r="E31" s="10">
        <v>1</v>
      </c>
      <c r="F31" s="10">
        <v>57</v>
      </c>
      <c r="G31" s="10">
        <v>57</v>
      </c>
      <c r="H31" s="10">
        <v>8</v>
      </c>
      <c r="I31" s="11">
        <v>3.35</v>
      </c>
      <c r="J31" s="12">
        <v>0.36799999999999999</v>
      </c>
      <c r="K31" s="11">
        <v>2.71</v>
      </c>
      <c r="L31" s="10">
        <v>-49</v>
      </c>
      <c r="M31" s="10">
        <v>373</v>
      </c>
      <c r="N31" s="10">
        <f>IF(G31&lt;=Cutoffs!$B$4,4,IF(G31&lt;=Cutoffs!$C$4,3,IF(G31&lt;=Cutoffs!$D$4,2,1)))</f>
        <v>1</v>
      </c>
      <c r="O31" s="10">
        <f>IF(F31&gt;=Cutoffs!$D$5,4,IF(F31&gt;=Cutoffs!$C$5,3,IF(F31&gt;=Cutoffs!$B$5,2,1)))</f>
        <v>2</v>
      </c>
      <c r="P31" s="10">
        <f>IF(H31&gt;=Cutoffs!$D$6,4,IF(H31&gt;=Cutoffs!$C$6,3,IF(H31&gt;=Cutoffs!$B$6,2,1)))</f>
        <v>1</v>
      </c>
      <c r="Q31" s="10">
        <f t="shared" si="0"/>
        <v>4</v>
      </c>
      <c r="R31" s="10" t="str">
        <f t="shared" si="1"/>
        <v>Dormant</v>
      </c>
    </row>
    <row r="32" spans="1:18" x14ac:dyDescent="0.55000000000000004">
      <c r="A32" s="10" t="s">
        <v>72</v>
      </c>
      <c r="B32" s="10" t="s">
        <v>34</v>
      </c>
      <c r="C32" s="10" t="s">
        <v>35</v>
      </c>
      <c r="D32" s="10" t="s">
        <v>36</v>
      </c>
      <c r="E32" s="10">
        <v>0</v>
      </c>
      <c r="F32" s="10">
        <v>52</v>
      </c>
      <c r="G32" s="10">
        <v>34</v>
      </c>
      <c r="H32" s="10">
        <v>23</v>
      </c>
      <c r="I32" s="11">
        <v>4</v>
      </c>
      <c r="J32" s="12">
        <v>0.55800000000000005</v>
      </c>
      <c r="K32" s="11">
        <v>3.24</v>
      </c>
      <c r="L32" s="10">
        <v>20</v>
      </c>
      <c r="M32" s="10">
        <v>35</v>
      </c>
      <c r="N32" s="10">
        <f>IF(G32&lt;=Cutoffs!$B$4,4,IF(G32&lt;=Cutoffs!$C$4,3,IF(G32&lt;=Cutoffs!$D$4,2,1)))</f>
        <v>1</v>
      </c>
      <c r="O32" s="10">
        <f>IF(F32&gt;=Cutoffs!$D$5,4,IF(F32&gt;=Cutoffs!$C$5,3,IF(F32&gt;=Cutoffs!$B$5,2,1)))</f>
        <v>2</v>
      </c>
      <c r="P32" s="10">
        <f>IF(H32&gt;=Cutoffs!$D$6,4,IF(H32&gt;=Cutoffs!$C$6,3,IF(H32&gt;=Cutoffs!$B$6,2,1)))</f>
        <v>3</v>
      </c>
      <c r="Q32" s="10">
        <f t="shared" si="0"/>
        <v>6</v>
      </c>
      <c r="R32" s="10" t="str">
        <f t="shared" si="1"/>
        <v>Dormant</v>
      </c>
    </row>
    <row r="33" spans="1:18" x14ac:dyDescent="0.55000000000000004">
      <c r="A33" s="10" t="s">
        <v>73</v>
      </c>
      <c r="B33" s="10" t="s">
        <v>47</v>
      </c>
      <c r="C33" s="10" t="s">
        <v>35</v>
      </c>
      <c r="D33" s="10" t="s">
        <v>32</v>
      </c>
      <c r="E33" s="10">
        <v>0</v>
      </c>
      <c r="F33" s="10">
        <v>75</v>
      </c>
      <c r="G33" s="10">
        <v>1</v>
      </c>
      <c r="H33" s="10">
        <v>14</v>
      </c>
      <c r="I33" s="11">
        <v>5</v>
      </c>
      <c r="J33" s="12">
        <v>0.45300000000000001</v>
      </c>
      <c r="K33" s="11">
        <v>3.58</v>
      </c>
      <c r="L33" s="10">
        <v>11</v>
      </c>
      <c r="M33" s="10">
        <v>1328</v>
      </c>
      <c r="N33" s="10">
        <f>IF(G33&lt;=Cutoffs!$B$4,4,IF(G33&lt;=Cutoffs!$C$4,3,IF(G33&lt;=Cutoffs!$D$4,2,1)))</f>
        <v>4</v>
      </c>
      <c r="O33" s="10">
        <f>IF(F33&gt;=Cutoffs!$D$5,4,IF(F33&gt;=Cutoffs!$C$5,3,IF(F33&gt;=Cutoffs!$B$5,2,1)))</f>
        <v>2</v>
      </c>
      <c r="P33" s="10">
        <f>IF(H33&gt;=Cutoffs!$D$6,4,IF(H33&gt;=Cutoffs!$C$6,3,IF(H33&gt;=Cutoffs!$B$6,2,1)))</f>
        <v>2</v>
      </c>
      <c r="Q33" s="10">
        <f t="shared" si="0"/>
        <v>8</v>
      </c>
      <c r="R33" s="10" t="str">
        <f t="shared" si="1"/>
        <v>Promising</v>
      </c>
    </row>
    <row r="34" spans="1:18" x14ac:dyDescent="0.55000000000000004">
      <c r="A34" s="10" t="s">
        <v>74</v>
      </c>
      <c r="B34" s="10" t="s">
        <v>38</v>
      </c>
      <c r="C34" s="10" t="s">
        <v>35</v>
      </c>
      <c r="D34" s="10" t="s">
        <v>44</v>
      </c>
      <c r="E34" s="10">
        <v>0</v>
      </c>
      <c r="F34" s="10">
        <v>45</v>
      </c>
      <c r="G34" s="10">
        <v>24</v>
      </c>
      <c r="H34" s="10">
        <v>5</v>
      </c>
      <c r="I34" s="11">
        <v>3.75</v>
      </c>
      <c r="J34" s="12">
        <v>0.57799999999999996</v>
      </c>
      <c r="K34" s="11">
        <v>3.78</v>
      </c>
      <c r="L34" s="10">
        <v>45</v>
      </c>
      <c r="M34" s="10">
        <v>104</v>
      </c>
      <c r="N34" s="10">
        <f>IF(G34&lt;=Cutoffs!$B$4,4,IF(G34&lt;=Cutoffs!$C$4,3,IF(G34&lt;=Cutoffs!$D$4,2,1)))</f>
        <v>1</v>
      </c>
      <c r="O34" s="10">
        <f>IF(F34&gt;=Cutoffs!$D$5,4,IF(F34&gt;=Cutoffs!$C$5,3,IF(F34&gt;=Cutoffs!$B$5,2,1)))</f>
        <v>1</v>
      </c>
      <c r="P34" s="10">
        <f>IF(H34&gt;=Cutoffs!$D$6,4,IF(H34&gt;=Cutoffs!$C$6,3,IF(H34&gt;=Cutoffs!$B$6,2,1)))</f>
        <v>1</v>
      </c>
      <c r="Q34" s="10">
        <f t="shared" si="0"/>
        <v>3</v>
      </c>
      <c r="R34" s="10" t="str">
        <f t="shared" si="1"/>
        <v>Dormant</v>
      </c>
    </row>
    <row r="35" spans="1:18" x14ac:dyDescent="0.55000000000000004">
      <c r="A35" s="10" t="s">
        <v>75</v>
      </c>
      <c r="B35" s="10" t="s">
        <v>34</v>
      </c>
      <c r="C35" s="10" t="s">
        <v>35</v>
      </c>
      <c r="D35" s="10" t="s">
        <v>41</v>
      </c>
      <c r="E35" s="10">
        <v>0</v>
      </c>
      <c r="F35" s="10">
        <v>147</v>
      </c>
      <c r="G35" s="10">
        <v>2</v>
      </c>
      <c r="H35" s="10">
        <v>52</v>
      </c>
      <c r="I35" s="11">
        <v>2.72</v>
      </c>
      <c r="J35" s="12">
        <v>0.51</v>
      </c>
      <c r="K35" s="11">
        <v>3.39</v>
      </c>
      <c r="L35" s="10">
        <v>-23</v>
      </c>
      <c r="M35" s="10">
        <v>448</v>
      </c>
      <c r="N35" s="10">
        <f>IF(G35&lt;=Cutoffs!$B$4,4,IF(G35&lt;=Cutoffs!$C$4,3,IF(G35&lt;=Cutoffs!$D$4,2,1)))</f>
        <v>3</v>
      </c>
      <c r="O35" s="10">
        <f>IF(F35&gt;=Cutoffs!$D$5,4,IF(F35&gt;=Cutoffs!$C$5,3,IF(F35&gt;=Cutoffs!$B$5,2,1)))</f>
        <v>3</v>
      </c>
      <c r="P35" s="10">
        <f>IF(H35&gt;=Cutoffs!$D$6,4,IF(H35&gt;=Cutoffs!$C$6,3,IF(H35&gt;=Cutoffs!$B$6,2,1)))</f>
        <v>4</v>
      </c>
      <c r="Q35" s="10">
        <f t="shared" si="0"/>
        <v>10</v>
      </c>
      <c r="R35" s="10" t="str">
        <f t="shared" si="1"/>
        <v>Champions</v>
      </c>
    </row>
    <row r="36" spans="1:18" x14ac:dyDescent="0.55000000000000004">
      <c r="A36" s="10" t="s">
        <v>76</v>
      </c>
      <c r="B36" s="10" t="s">
        <v>47</v>
      </c>
      <c r="C36" s="10" t="s">
        <v>35</v>
      </c>
      <c r="D36" s="10" t="s">
        <v>39</v>
      </c>
      <c r="E36" s="10">
        <v>0</v>
      </c>
      <c r="F36" s="10">
        <v>136</v>
      </c>
      <c r="G36" s="10">
        <v>3</v>
      </c>
      <c r="H36" s="10">
        <v>42</v>
      </c>
      <c r="I36" s="11">
        <v>2.83</v>
      </c>
      <c r="J36" s="12">
        <v>0.50700000000000001</v>
      </c>
      <c r="K36" s="11">
        <v>3.27</v>
      </c>
      <c r="L36" s="10">
        <v>6</v>
      </c>
      <c r="M36" s="10">
        <v>644</v>
      </c>
      <c r="N36" s="10">
        <f>IF(G36&lt;=Cutoffs!$B$4,4,IF(G36&lt;=Cutoffs!$C$4,3,IF(G36&lt;=Cutoffs!$D$4,2,1)))</f>
        <v>3</v>
      </c>
      <c r="O36" s="10">
        <f>IF(F36&gt;=Cutoffs!$D$5,4,IF(F36&gt;=Cutoffs!$C$5,3,IF(F36&gt;=Cutoffs!$B$5,2,1)))</f>
        <v>3</v>
      </c>
      <c r="P36" s="10">
        <f>IF(H36&gt;=Cutoffs!$D$6,4,IF(H36&gt;=Cutoffs!$C$6,3,IF(H36&gt;=Cutoffs!$B$6,2,1)))</f>
        <v>4</v>
      </c>
      <c r="Q36" s="10">
        <f t="shared" si="0"/>
        <v>10</v>
      </c>
      <c r="R36" s="10" t="str">
        <f t="shared" si="1"/>
        <v>Champions</v>
      </c>
    </row>
    <row r="37" spans="1:18" x14ac:dyDescent="0.55000000000000004">
      <c r="A37" s="10" t="s">
        <v>77</v>
      </c>
      <c r="B37" s="10" t="s">
        <v>47</v>
      </c>
      <c r="C37" s="10" t="s">
        <v>35</v>
      </c>
      <c r="D37" s="10" t="s">
        <v>44</v>
      </c>
      <c r="E37" s="10">
        <v>0</v>
      </c>
      <c r="F37" s="10">
        <v>100</v>
      </c>
      <c r="G37" s="10">
        <v>41</v>
      </c>
      <c r="H37" s="10">
        <v>38</v>
      </c>
      <c r="I37" s="11">
        <v>5.88</v>
      </c>
      <c r="J37" s="12">
        <v>0.54</v>
      </c>
      <c r="K37" s="11">
        <v>3.2</v>
      </c>
      <c r="L37" s="10">
        <v>-34</v>
      </c>
      <c r="M37" s="10">
        <v>113</v>
      </c>
      <c r="N37" s="10">
        <f>IF(G37&lt;=Cutoffs!$B$4,4,IF(G37&lt;=Cutoffs!$C$4,3,IF(G37&lt;=Cutoffs!$D$4,2,1)))</f>
        <v>1</v>
      </c>
      <c r="O37" s="10">
        <f>IF(F37&gt;=Cutoffs!$D$5,4,IF(F37&gt;=Cutoffs!$C$5,3,IF(F37&gt;=Cutoffs!$B$5,2,1)))</f>
        <v>3</v>
      </c>
      <c r="P37" s="10">
        <f>IF(H37&gt;=Cutoffs!$D$6,4,IF(H37&gt;=Cutoffs!$C$6,3,IF(H37&gt;=Cutoffs!$B$6,2,1)))</f>
        <v>4</v>
      </c>
      <c r="Q37" s="10">
        <f t="shared" si="0"/>
        <v>8</v>
      </c>
      <c r="R37" s="10" t="str">
        <f t="shared" si="1"/>
        <v>At risk</v>
      </c>
    </row>
    <row r="38" spans="1:18" x14ac:dyDescent="0.55000000000000004">
      <c r="A38" s="10" t="s">
        <v>78</v>
      </c>
      <c r="B38" s="10" t="s">
        <v>38</v>
      </c>
      <c r="C38" s="10" t="s">
        <v>35</v>
      </c>
      <c r="D38" s="10" t="s">
        <v>44</v>
      </c>
      <c r="E38" s="10">
        <v>0</v>
      </c>
      <c r="F38" s="10">
        <v>31</v>
      </c>
      <c r="G38" s="10">
        <v>13</v>
      </c>
      <c r="H38" s="10">
        <v>9</v>
      </c>
      <c r="I38" s="11">
        <v>3.1</v>
      </c>
      <c r="J38" s="12">
        <v>0.51600000000000001</v>
      </c>
      <c r="K38" s="11">
        <v>2.27</v>
      </c>
      <c r="L38" s="10">
        <v>1</v>
      </c>
      <c r="M38" s="10">
        <v>77</v>
      </c>
      <c r="N38" s="10">
        <f>IF(G38&lt;=Cutoffs!$B$4,4,IF(G38&lt;=Cutoffs!$C$4,3,IF(G38&lt;=Cutoffs!$D$4,2,1)))</f>
        <v>2</v>
      </c>
      <c r="O38" s="10">
        <f>IF(F38&gt;=Cutoffs!$D$5,4,IF(F38&gt;=Cutoffs!$C$5,3,IF(F38&gt;=Cutoffs!$B$5,2,1)))</f>
        <v>1</v>
      </c>
      <c r="P38" s="10">
        <f>IF(H38&gt;=Cutoffs!$D$6,4,IF(H38&gt;=Cutoffs!$C$6,3,IF(H38&gt;=Cutoffs!$B$6,2,1)))</f>
        <v>1</v>
      </c>
      <c r="Q38" s="10">
        <f t="shared" si="0"/>
        <v>4</v>
      </c>
      <c r="R38" s="10" t="str">
        <f t="shared" si="1"/>
        <v>Cooling</v>
      </c>
    </row>
    <row r="39" spans="1:18" x14ac:dyDescent="0.55000000000000004">
      <c r="A39" s="10" t="s">
        <v>79</v>
      </c>
      <c r="B39" s="10" t="s">
        <v>38</v>
      </c>
      <c r="C39" s="10" t="s">
        <v>35</v>
      </c>
      <c r="D39" s="10" t="s">
        <v>36</v>
      </c>
      <c r="E39" s="10">
        <v>0</v>
      </c>
      <c r="F39" s="10">
        <v>46</v>
      </c>
      <c r="G39" s="10">
        <v>6</v>
      </c>
      <c r="H39" s="10">
        <v>17</v>
      </c>
      <c r="I39" s="11">
        <v>3.83</v>
      </c>
      <c r="J39" s="12">
        <v>0.435</v>
      </c>
      <c r="K39" s="11">
        <v>2.15</v>
      </c>
      <c r="L39" s="10">
        <v>-40</v>
      </c>
      <c r="M39" s="10">
        <v>57</v>
      </c>
      <c r="N39" s="10">
        <f>IF(G39&lt;=Cutoffs!$B$4,4,IF(G39&lt;=Cutoffs!$C$4,3,IF(G39&lt;=Cutoffs!$D$4,2,1)))</f>
        <v>3</v>
      </c>
      <c r="O39" s="10">
        <f>IF(F39&gt;=Cutoffs!$D$5,4,IF(F39&gt;=Cutoffs!$C$5,3,IF(F39&gt;=Cutoffs!$B$5,2,1)))</f>
        <v>1</v>
      </c>
      <c r="P39" s="10">
        <f>IF(H39&gt;=Cutoffs!$D$6,4,IF(H39&gt;=Cutoffs!$C$6,3,IF(H39&gt;=Cutoffs!$B$6,2,1)))</f>
        <v>2</v>
      </c>
      <c r="Q39" s="10">
        <f t="shared" si="0"/>
        <v>6</v>
      </c>
      <c r="R39" s="10" t="str">
        <f t="shared" si="1"/>
        <v>Promising</v>
      </c>
    </row>
    <row r="40" spans="1:18" x14ac:dyDescent="0.55000000000000004">
      <c r="A40" s="10" t="s">
        <v>80</v>
      </c>
      <c r="B40" s="10" t="s">
        <v>38</v>
      </c>
      <c r="C40" s="10" t="s">
        <v>35</v>
      </c>
      <c r="D40" s="10" t="s">
        <v>32</v>
      </c>
      <c r="E40" s="10">
        <v>0</v>
      </c>
      <c r="F40" s="10">
        <v>34</v>
      </c>
      <c r="G40" s="10">
        <v>1</v>
      </c>
      <c r="H40" s="10">
        <v>10</v>
      </c>
      <c r="I40" s="11">
        <v>2</v>
      </c>
      <c r="J40" s="12">
        <v>0.73499999999999999</v>
      </c>
      <c r="K40" s="11">
        <v>6.56</v>
      </c>
      <c r="L40" s="10">
        <v>34</v>
      </c>
      <c r="M40" s="10">
        <v>503</v>
      </c>
      <c r="N40" s="10">
        <f>IF(G40&lt;=Cutoffs!$B$4,4,IF(G40&lt;=Cutoffs!$C$4,3,IF(G40&lt;=Cutoffs!$D$4,2,1)))</f>
        <v>4</v>
      </c>
      <c r="O40" s="10">
        <f>IF(F40&gt;=Cutoffs!$D$5,4,IF(F40&gt;=Cutoffs!$C$5,3,IF(F40&gt;=Cutoffs!$B$5,2,1)))</f>
        <v>1</v>
      </c>
      <c r="P40" s="10">
        <f>IF(H40&gt;=Cutoffs!$D$6,4,IF(H40&gt;=Cutoffs!$C$6,3,IF(H40&gt;=Cutoffs!$B$6,2,1)))</f>
        <v>1</v>
      </c>
      <c r="Q40" s="10">
        <f t="shared" si="0"/>
        <v>6</v>
      </c>
      <c r="R40" s="10" t="str">
        <f t="shared" si="1"/>
        <v>Promising</v>
      </c>
    </row>
    <row r="41" spans="1:18" x14ac:dyDescent="0.55000000000000004">
      <c r="A41" s="10" t="s">
        <v>81</v>
      </c>
      <c r="B41" s="10" t="s">
        <v>38</v>
      </c>
      <c r="C41" s="10" t="s">
        <v>35</v>
      </c>
      <c r="D41" s="10" t="s">
        <v>41</v>
      </c>
      <c r="E41" s="10">
        <v>0</v>
      </c>
      <c r="F41" s="10">
        <v>179</v>
      </c>
      <c r="G41" s="10">
        <v>2</v>
      </c>
      <c r="H41" s="10">
        <v>11</v>
      </c>
      <c r="I41" s="11">
        <v>3.2</v>
      </c>
      <c r="J41" s="12">
        <v>0.503</v>
      </c>
      <c r="K41" s="11">
        <v>5</v>
      </c>
      <c r="L41" s="10">
        <v>-63</v>
      </c>
      <c r="M41" s="10">
        <v>865</v>
      </c>
      <c r="N41" s="10">
        <f>IF(G41&lt;=Cutoffs!$B$4,4,IF(G41&lt;=Cutoffs!$C$4,3,IF(G41&lt;=Cutoffs!$D$4,2,1)))</f>
        <v>3</v>
      </c>
      <c r="O41" s="10">
        <f>IF(F41&gt;=Cutoffs!$D$5,4,IF(F41&gt;=Cutoffs!$C$5,3,IF(F41&gt;=Cutoffs!$B$5,2,1)))</f>
        <v>4</v>
      </c>
      <c r="P41" s="10">
        <f>IF(H41&gt;=Cutoffs!$D$6,4,IF(H41&gt;=Cutoffs!$C$6,3,IF(H41&gt;=Cutoffs!$B$6,2,1)))</f>
        <v>2</v>
      </c>
      <c r="Q41" s="10">
        <f t="shared" si="0"/>
        <v>9</v>
      </c>
      <c r="R41" s="10" t="str">
        <f t="shared" si="1"/>
        <v>Champions</v>
      </c>
    </row>
    <row r="42" spans="1:18" x14ac:dyDescent="0.55000000000000004">
      <c r="A42" s="10" t="s">
        <v>82</v>
      </c>
      <c r="B42" s="10" t="s">
        <v>34</v>
      </c>
      <c r="C42" s="10" t="s">
        <v>35</v>
      </c>
      <c r="D42" s="10" t="s">
        <v>41</v>
      </c>
      <c r="E42" s="10">
        <v>0</v>
      </c>
      <c r="F42" s="10">
        <v>160</v>
      </c>
      <c r="G42" s="10">
        <v>31</v>
      </c>
      <c r="H42" s="10">
        <v>30</v>
      </c>
      <c r="I42" s="11">
        <v>4.8499999999999996</v>
      </c>
      <c r="J42" s="12">
        <v>0.51900000000000002</v>
      </c>
      <c r="K42" s="11">
        <v>2.2599999999999998</v>
      </c>
      <c r="L42" s="10">
        <v>-48</v>
      </c>
      <c r="M42" s="10">
        <v>610</v>
      </c>
      <c r="N42" s="10">
        <f>IF(G42&lt;=Cutoffs!$B$4,4,IF(G42&lt;=Cutoffs!$C$4,3,IF(G42&lt;=Cutoffs!$D$4,2,1)))</f>
        <v>1</v>
      </c>
      <c r="O42" s="10">
        <f>IF(F42&gt;=Cutoffs!$D$5,4,IF(F42&gt;=Cutoffs!$C$5,3,IF(F42&gt;=Cutoffs!$B$5,2,1)))</f>
        <v>4</v>
      </c>
      <c r="P42" s="10">
        <f>IF(H42&gt;=Cutoffs!$D$6,4,IF(H42&gt;=Cutoffs!$C$6,3,IF(H42&gt;=Cutoffs!$B$6,2,1)))</f>
        <v>4</v>
      </c>
      <c r="Q42" s="10">
        <f t="shared" si="0"/>
        <v>9</v>
      </c>
      <c r="R42" s="10" t="str">
        <f t="shared" si="1"/>
        <v>At risk</v>
      </c>
    </row>
    <row r="43" spans="1:18" x14ac:dyDescent="0.55000000000000004">
      <c r="A43" s="10" t="s">
        <v>83</v>
      </c>
      <c r="B43" s="10" t="s">
        <v>34</v>
      </c>
      <c r="C43" s="10" t="s">
        <v>35</v>
      </c>
      <c r="D43" s="10" t="s">
        <v>36</v>
      </c>
      <c r="E43" s="10">
        <v>0</v>
      </c>
      <c r="F43" s="10">
        <v>146</v>
      </c>
      <c r="G43" s="10">
        <v>11</v>
      </c>
      <c r="H43" s="10">
        <v>24</v>
      </c>
      <c r="I43" s="11">
        <v>3.17</v>
      </c>
      <c r="J43" s="12">
        <v>0.60299999999999998</v>
      </c>
      <c r="K43" s="11">
        <v>2.79</v>
      </c>
      <c r="L43" s="10">
        <v>-86</v>
      </c>
      <c r="M43" s="10">
        <v>277</v>
      </c>
      <c r="N43" s="10">
        <f>IF(G43&lt;=Cutoffs!$B$4,4,IF(G43&lt;=Cutoffs!$C$4,3,IF(G43&lt;=Cutoffs!$D$4,2,1)))</f>
        <v>2</v>
      </c>
      <c r="O43" s="10">
        <f>IF(F43&gt;=Cutoffs!$D$5,4,IF(F43&gt;=Cutoffs!$C$5,3,IF(F43&gt;=Cutoffs!$B$5,2,1)))</f>
        <v>3</v>
      </c>
      <c r="P43" s="10">
        <f>IF(H43&gt;=Cutoffs!$D$6,4,IF(H43&gt;=Cutoffs!$C$6,3,IF(H43&gt;=Cutoffs!$B$6,2,1)))</f>
        <v>3</v>
      </c>
      <c r="Q43" s="10">
        <f t="shared" si="0"/>
        <v>8</v>
      </c>
      <c r="R43" s="10" t="str">
        <f t="shared" si="1"/>
        <v>At risk</v>
      </c>
    </row>
    <row r="44" spans="1:18" x14ac:dyDescent="0.55000000000000004">
      <c r="A44" s="10" t="s">
        <v>84</v>
      </c>
      <c r="B44" s="10" t="s">
        <v>34</v>
      </c>
      <c r="C44" s="10" t="s">
        <v>35</v>
      </c>
      <c r="D44" s="10" t="s">
        <v>39</v>
      </c>
      <c r="E44" s="10">
        <v>0</v>
      </c>
      <c r="F44" s="10">
        <v>57</v>
      </c>
      <c r="G44" s="10">
        <v>1</v>
      </c>
      <c r="H44" s="10">
        <v>30</v>
      </c>
      <c r="I44" s="11">
        <v>3</v>
      </c>
      <c r="J44" s="12">
        <v>0.59699999999999998</v>
      </c>
      <c r="K44" s="11">
        <v>2.92</v>
      </c>
      <c r="L44" s="10">
        <v>51</v>
      </c>
      <c r="M44" s="10">
        <v>406</v>
      </c>
      <c r="N44" s="10">
        <f>IF(G44&lt;=Cutoffs!$B$4,4,IF(G44&lt;=Cutoffs!$C$4,3,IF(G44&lt;=Cutoffs!$D$4,2,1)))</f>
        <v>4</v>
      </c>
      <c r="O44" s="10">
        <f>IF(F44&gt;=Cutoffs!$D$5,4,IF(F44&gt;=Cutoffs!$C$5,3,IF(F44&gt;=Cutoffs!$B$5,2,1)))</f>
        <v>2</v>
      </c>
      <c r="P44" s="10">
        <f>IF(H44&gt;=Cutoffs!$D$6,4,IF(H44&gt;=Cutoffs!$C$6,3,IF(H44&gt;=Cutoffs!$B$6,2,1)))</f>
        <v>4</v>
      </c>
      <c r="Q44" s="10">
        <f t="shared" si="0"/>
        <v>10</v>
      </c>
      <c r="R44" s="10" t="str">
        <f t="shared" si="1"/>
        <v>Promising</v>
      </c>
    </row>
    <row r="45" spans="1:18" x14ac:dyDescent="0.55000000000000004">
      <c r="A45" s="10" t="s">
        <v>85</v>
      </c>
      <c r="B45" s="10" t="s">
        <v>47</v>
      </c>
      <c r="C45" s="10" t="s">
        <v>35</v>
      </c>
      <c r="D45" s="10" t="s">
        <v>39</v>
      </c>
      <c r="E45" s="10">
        <v>1</v>
      </c>
      <c r="F45" s="10">
        <v>71</v>
      </c>
      <c r="G45" s="10">
        <v>23</v>
      </c>
      <c r="H45" s="10">
        <v>21</v>
      </c>
      <c r="I45" s="11">
        <v>5.46</v>
      </c>
      <c r="J45" s="12">
        <v>0.46500000000000002</v>
      </c>
      <c r="K45" s="11">
        <v>3.74</v>
      </c>
      <c r="L45" s="10">
        <v>67</v>
      </c>
      <c r="M45" s="10">
        <v>349</v>
      </c>
      <c r="N45" s="10">
        <f>IF(G45&lt;=Cutoffs!$B$4,4,IF(G45&lt;=Cutoffs!$C$4,3,IF(G45&lt;=Cutoffs!$D$4,2,1)))</f>
        <v>1</v>
      </c>
      <c r="O45" s="10">
        <f>IF(F45&gt;=Cutoffs!$D$5,4,IF(F45&gt;=Cutoffs!$C$5,3,IF(F45&gt;=Cutoffs!$B$5,2,1)))</f>
        <v>2</v>
      </c>
      <c r="P45" s="10">
        <f>IF(H45&gt;=Cutoffs!$D$6,4,IF(H45&gt;=Cutoffs!$C$6,3,IF(H45&gt;=Cutoffs!$B$6,2,1)))</f>
        <v>3</v>
      </c>
      <c r="Q45" s="10">
        <f t="shared" si="0"/>
        <v>6</v>
      </c>
      <c r="R45" s="10" t="str">
        <f t="shared" si="1"/>
        <v>Dormant</v>
      </c>
    </row>
    <row r="46" spans="1:18" x14ac:dyDescent="0.55000000000000004">
      <c r="A46" s="10" t="s">
        <v>86</v>
      </c>
      <c r="B46" s="10" t="s">
        <v>47</v>
      </c>
      <c r="C46" s="10" t="s">
        <v>35</v>
      </c>
      <c r="D46" s="10" t="s">
        <v>44</v>
      </c>
      <c r="E46" s="10">
        <v>1</v>
      </c>
      <c r="F46" s="10">
        <v>43</v>
      </c>
      <c r="G46" s="10">
        <v>57</v>
      </c>
      <c r="H46" s="10">
        <v>1</v>
      </c>
      <c r="I46" s="11">
        <v>6.14</v>
      </c>
      <c r="J46" s="12">
        <v>0.628</v>
      </c>
      <c r="K46" s="11">
        <v>4.18</v>
      </c>
      <c r="L46" s="10">
        <v>27</v>
      </c>
      <c r="M46" s="10">
        <v>689</v>
      </c>
      <c r="N46" s="10">
        <f>IF(G46&lt;=Cutoffs!$B$4,4,IF(G46&lt;=Cutoffs!$C$4,3,IF(G46&lt;=Cutoffs!$D$4,2,1)))</f>
        <v>1</v>
      </c>
      <c r="O46" s="10">
        <f>IF(F46&gt;=Cutoffs!$D$5,4,IF(F46&gt;=Cutoffs!$C$5,3,IF(F46&gt;=Cutoffs!$B$5,2,1)))</f>
        <v>1</v>
      </c>
      <c r="P46" s="10">
        <f>IF(H46&gt;=Cutoffs!$D$6,4,IF(H46&gt;=Cutoffs!$C$6,3,IF(H46&gt;=Cutoffs!$B$6,2,1)))</f>
        <v>1</v>
      </c>
      <c r="Q46" s="10">
        <f t="shared" si="0"/>
        <v>3</v>
      </c>
      <c r="R46" s="10" t="str">
        <f t="shared" si="1"/>
        <v>Dormant</v>
      </c>
    </row>
    <row r="47" spans="1:18" x14ac:dyDescent="0.55000000000000004">
      <c r="A47" s="10" t="s">
        <v>87</v>
      </c>
      <c r="B47" s="10" t="s">
        <v>43</v>
      </c>
      <c r="C47" s="10" t="s">
        <v>31</v>
      </c>
      <c r="D47" s="10" t="s">
        <v>39</v>
      </c>
      <c r="E47" s="10">
        <v>0</v>
      </c>
      <c r="F47" s="10">
        <v>67</v>
      </c>
      <c r="G47" s="10">
        <v>49</v>
      </c>
      <c r="H47" s="10">
        <v>18</v>
      </c>
      <c r="I47" s="11">
        <v>2.68</v>
      </c>
      <c r="J47" s="12">
        <v>0.50700000000000001</v>
      </c>
      <c r="K47" s="11">
        <v>2.23</v>
      </c>
      <c r="L47" s="10">
        <v>-39</v>
      </c>
      <c r="M47" s="10">
        <v>271</v>
      </c>
      <c r="N47" s="10">
        <f>IF(G47&lt;=Cutoffs!$B$4,4,IF(G47&lt;=Cutoffs!$C$4,3,IF(G47&lt;=Cutoffs!$D$4,2,1)))</f>
        <v>1</v>
      </c>
      <c r="O47" s="10">
        <f>IF(F47&gt;=Cutoffs!$D$5,4,IF(F47&gt;=Cutoffs!$C$5,3,IF(F47&gt;=Cutoffs!$B$5,2,1)))</f>
        <v>2</v>
      </c>
      <c r="P47" s="10">
        <f>IF(H47&gt;=Cutoffs!$D$6,4,IF(H47&gt;=Cutoffs!$C$6,3,IF(H47&gt;=Cutoffs!$B$6,2,1)))</f>
        <v>2</v>
      </c>
      <c r="Q47" s="10">
        <f t="shared" si="0"/>
        <v>5</v>
      </c>
      <c r="R47" s="10" t="str">
        <f t="shared" si="1"/>
        <v>Dormant</v>
      </c>
    </row>
    <row r="48" spans="1:18" x14ac:dyDescent="0.55000000000000004">
      <c r="A48" s="10" t="s">
        <v>88</v>
      </c>
      <c r="B48" s="10" t="s">
        <v>38</v>
      </c>
      <c r="C48" s="10" t="s">
        <v>35</v>
      </c>
      <c r="D48" s="10" t="s">
        <v>41</v>
      </c>
      <c r="E48" s="10">
        <v>0</v>
      </c>
      <c r="F48" s="10">
        <v>45</v>
      </c>
      <c r="G48" s="10">
        <v>1</v>
      </c>
      <c r="H48" s="10">
        <v>4</v>
      </c>
      <c r="I48" s="11">
        <v>1.73</v>
      </c>
      <c r="J48" s="12">
        <v>0.51100000000000001</v>
      </c>
      <c r="K48" s="11">
        <v>2.38</v>
      </c>
      <c r="L48" s="10">
        <v>-13</v>
      </c>
      <c r="M48" s="10">
        <v>236</v>
      </c>
      <c r="N48" s="10">
        <f>IF(G48&lt;=Cutoffs!$B$4,4,IF(G48&lt;=Cutoffs!$C$4,3,IF(G48&lt;=Cutoffs!$D$4,2,1)))</f>
        <v>4</v>
      </c>
      <c r="O48" s="10">
        <f>IF(F48&gt;=Cutoffs!$D$5,4,IF(F48&gt;=Cutoffs!$C$5,3,IF(F48&gt;=Cutoffs!$B$5,2,1)))</f>
        <v>1</v>
      </c>
      <c r="P48" s="10">
        <f>IF(H48&gt;=Cutoffs!$D$6,4,IF(H48&gt;=Cutoffs!$C$6,3,IF(H48&gt;=Cutoffs!$B$6,2,1)))</f>
        <v>1</v>
      </c>
      <c r="Q48" s="10">
        <f t="shared" si="0"/>
        <v>6</v>
      </c>
      <c r="R48" s="10" t="str">
        <f t="shared" si="1"/>
        <v>Promising</v>
      </c>
    </row>
    <row r="49" spans="1:18" x14ac:dyDescent="0.55000000000000004">
      <c r="A49" s="10" t="s">
        <v>89</v>
      </c>
      <c r="B49" s="10" t="s">
        <v>30</v>
      </c>
      <c r="C49" s="10" t="s">
        <v>31</v>
      </c>
      <c r="D49" s="10" t="s">
        <v>41</v>
      </c>
      <c r="E49" s="10">
        <v>0</v>
      </c>
      <c r="F49" s="10">
        <v>200</v>
      </c>
      <c r="G49" s="10">
        <v>1</v>
      </c>
      <c r="H49" s="10">
        <v>25</v>
      </c>
      <c r="I49" s="11">
        <v>6.45</v>
      </c>
      <c r="J49" s="12">
        <v>0.49</v>
      </c>
      <c r="K49" s="11">
        <v>2.62</v>
      </c>
      <c r="L49" s="10">
        <v>200</v>
      </c>
      <c r="M49" s="10">
        <v>918</v>
      </c>
      <c r="N49" s="10">
        <f>IF(G49&lt;=Cutoffs!$B$4,4,IF(G49&lt;=Cutoffs!$C$4,3,IF(G49&lt;=Cutoffs!$D$4,2,1)))</f>
        <v>4</v>
      </c>
      <c r="O49" s="10">
        <f>IF(F49&gt;=Cutoffs!$D$5,4,IF(F49&gt;=Cutoffs!$C$5,3,IF(F49&gt;=Cutoffs!$B$5,2,1)))</f>
        <v>4</v>
      </c>
      <c r="P49" s="10">
        <f>IF(H49&gt;=Cutoffs!$D$6,4,IF(H49&gt;=Cutoffs!$C$6,3,IF(H49&gt;=Cutoffs!$B$6,2,1)))</f>
        <v>3</v>
      </c>
      <c r="Q49" s="10">
        <f t="shared" si="0"/>
        <v>11</v>
      </c>
      <c r="R49" s="10" t="str">
        <f t="shared" si="1"/>
        <v>Champions</v>
      </c>
    </row>
    <row r="50" spans="1:18" x14ac:dyDescent="0.55000000000000004">
      <c r="A50" s="10" t="s">
        <v>90</v>
      </c>
      <c r="B50" s="10" t="s">
        <v>47</v>
      </c>
      <c r="C50" s="10" t="s">
        <v>35</v>
      </c>
      <c r="D50" s="10" t="s">
        <v>36</v>
      </c>
      <c r="E50" s="10">
        <v>1</v>
      </c>
      <c r="F50" s="10">
        <v>160</v>
      </c>
      <c r="G50" s="10">
        <v>3</v>
      </c>
      <c r="H50" s="10">
        <v>35</v>
      </c>
      <c r="I50" s="11">
        <v>5.93</v>
      </c>
      <c r="J50" s="12">
        <v>0.53100000000000003</v>
      </c>
      <c r="K50" s="11">
        <v>3.07</v>
      </c>
      <c r="L50" s="10">
        <v>112</v>
      </c>
      <c r="M50" s="10">
        <v>233</v>
      </c>
      <c r="N50" s="10">
        <f>IF(G50&lt;=Cutoffs!$B$4,4,IF(G50&lt;=Cutoffs!$C$4,3,IF(G50&lt;=Cutoffs!$D$4,2,1)))</f>
        <v>3</v>
      </c>
      <c r="O50" s="10">
        <f>IF(F50&gt;=Cutoffs!$D$5,4,IF(F50&gt;=Cutoffs!$C$5,3,IF(F50&gt;=Cutoffs!$B$5,2,1)))</f>
        <v>4</v>
      </c>
      <c r="P50" s="10">
        <f>IF(H50&gt;=Cutoffs!$D$6,4,IF(H50&gt;=Cutoffs!$C$6,3,IF(H50&gt;=Cutoffs!$B$6,2,1)))</f>
        <v>4</v>
      </c>
      <c r="Q50" s="10">
        <f t="shared" si="0"/>
        <v>11</v>
      </c>
      <c r="R50" s="10" t="str">
        <f t="shared" si="1"/>
        <v>Champions</v>
      </c>
    </row>
    <row r="51" spans="1:18" x14ac:dyDescent="0.55000000000000004">
      <c r="A51" s="10" t="s">
        <v>91</v>
      </c>
      <c r="B51" s="10" t="s">
        <v>30</v>
      </c>
      <c r="C51" s="10" t="s">
        <v>31</v>
      </c>
      <c r="D51" s="10" t="s">
        <v>41</v>
      </c>
      <c r="E51" s="10">
        <v>0</v>
      </c>
      <c r="F51" s="10">
        <v>198</v>
      </c>
      <c r="G51" s="10">
        <v>1</v>
      </c>
      <c r="H51" s="10">
        <v>79</v>
      </c>
      <c r="I51" s="11">
        <v>3.6</v>
      </c>
      <c r="J51" s="12">
        <v>0.48</v>
      </c>
      <c r="K51" s="11">
        <v>2.86</v>
      </c>
      <c r="L51" s="10">
        <v>88</v>
      </c>
      <c r="M51" s="10">
        <v>662</v>
      </c>
      <c r="N51" s="10">
        <f>IF(G51&lt;=Cutoffs!$B$4,4,IF(G51&lt;=Cutoffs!$C$4,3,IF(G51&lt;=Cutoffs!$D$4,2,1)))</f>
        <v>4</v>
      </c>
      <c r="O51" s="10">
        <f>IF(F51&gt;=Cutoffs!$D$5,4,IF(F51&gt;=Cutoffs!$C$5,3,IF(F51&gt;=Cutoffs!$B$5,2,1)))</f>
        <v>4</v>
      </c>
      <c r="P51" s="10">
        <f>IF(H51&gt;=Cutoffs!$D$6,4,IF(H51&gt;=Cutoffs!$C$6,3,IF(H51&gt;=Cutoffs!$B$6,2,1)))</f>
        <v>4</v>
      </c>
      <c r="Q51" s="10">
        <f t="shared" si="0"/>
        <v>12</v>
      </c>
      <c r="R51" s="10" t="str">
        <f t="shared" si="1"/>
        <v>Champions</v>
      </c>
    </row>
    <row r="52" spans="1:18" x14ac:dyDescent="0.55000000000000004">
      <c r="A52" s="10" t="s">
        <v>92</v>
      </c>
      <c r="B52" s="10" t="s">
        <v>34</v>
      </c>
      <c r="C52" s="10" t="s">
        <v>35</v>
      </c>
      <c r="D52" s="10" t="s">
        <v>36</v>
      </c>
      <c r="E52" s="10">
        <v>0</v>
      </c>
      <c r="F52" s="10">
        <v>119</v>
      </c>
      <c r="G52" s="10">
        <v>11</v>
      </c>
      <c r="H52" s="10">
        <v>35</v>
      </c>
      <c r="I52" s="11">
        <v>3.97</v>
      </c>
      <c r="J52" s="12">
        <v>0.44500000000000001</v>
      </c>
      <c r="K52" s="11">
        <v>3.15</v>
      </c>
      <c r="L52" s="10">
        <v>-77</v>
      </c>
      <c r="M52" s="10">
        <v>452</v>
      </c>
      <c r="N52" s="10">
        <f>IF(G52&lt;=Cutoffs!$B$4,4,IF(G52&lt;=Cutoffs!$C$4,3,IF(G52&lt;=Cutoffs!$D$4,2,1)))</f>
        <v>2</v>
      </c>
      <c r="O52" s="10">
        <f>IF(F52&gt;=Cutoffs!$D$5,4,IF(F52&gt;=Cutoffs!$C$5,3,IF(F52&gt;=Cutoffs!$B$5,2,1)))</f>
        <v>3</v>
      </c>
      <c r="P52" s="10">
        <f>IF(H52&gt;=Cutoffs!$D$6,4,IF(H52&gt;=Cutoffs!$C$6,3,IF(H52&gt;=Cutoffs!$B$6,2,1)))</f>
        <v>4</v>
      </c>
      <c r="Q52" s="10">
        <f t="shared" si="0"/>
        <v>9</v>
      </c>
      <c r="R52" s="10" t="str">
        <f t="shared" si="1"/>
        <v>At risk</v>
      </c>
    </row>
    <row r="53" spans="1:18" x14ac:dyDescent="0.55000000000000004">
      <c r="A53" s="10" t="s">
        <v>93</v>
      </c>
      <c r="B53" s="10" t="s">
        <v>34</v>
      </c>
      <c r="C53" s="10" t="s">
        <v>35</v>
      </c>
      <c r="D53" s="10" t="s">
        <v>39</v>
      </c>
      <c r="E53" s="10">
        <v>0</v>
      </c>
      <c r="F53" s="10">
        <v>60</v>
      </c>
      <c r="G53" s="10">
        <v>1</v>
      </c>
      <c r="H53" s="10">
        <v>21</v>
      </c>
      <c r="I53" s="11">
        <v>3.75</v>
      </c>
      <c r="J53" s="12">
        <v>0.5</v>
      </c>
      <c r="K53" s="11">
        <v>4.05</v>
      </c>
      <c r="L53" s="10">
        <v>42</v>
      </c>
      <c r="M53" s="10">
        <v>56</v>
      </c>
      <c r="N53" s="10">
        <f>IF(G53&lt;=Cutoffs!$B$4,4,IF(G53&lt;=Cutoffs!$C$4,3,IF(G53&lt;=Cutoffs!$D$4,2,1)))</f>
        <v>4</v>
      </c>
      <c r="O53" s="10">
        <f>IF(F53&gt;=Cutoffs!$D$5,4,IF(F53&gt;=Cutoffs!$C$5,3,IF(F53&gt;=Cutoffs!$B$5,2,1)))</f>
        <v>2</v>
      </c>
      <c r="P53" s="10">
        <f>IF(H53&gt;=Cutoffs!$D$6,4,IF(H53&gt;=Cutoffs!$C$6,3,IF(H53&gt;=Cutoffs!$B$6,2,1)))</f>
        <v>3</v>
      </c>
      <c r="Q53" s="10">
        <f t="shared" si="0"/>
        <v>9</v>
      </c>
      <c r="R53" s="10" t="str">
        <f t="shared" si="1"/>
        <v>Promising</v>
      </c>
    </row>
    <row r="54" spans="1:18" x14ac:dyDescent="0.55000000000000004">
      <c r="A54" s="10" t="s">
        <v>94</v>
      </c>
      <c r="B54" s="10" t="s">
        <v>38</v>
      </c>
      <c r="C54" s="10" t="s">
        <v>35</v>
      </c>
      <c r="D54" s="10" t="s">
        <v>32</v>
      </c>
      <c r="E54" s="10">
        <v>0</v>
      </c>
      <c r="F54" s="10">
        <v>38</v>
      </c>
      <c r="G54" s="10">
        <v>3</v>
      </c>
      <c r="H54" s="10">
        <v>25</v>
      </c>
      <c r="I54" s="11">
        <v>1.9</v>
      </c>
      <c r="J54" s="12">
        <v>0.57899999999999996</v>
      </c>
      <c r="K54" s="11">
        <v>2.15</v>
      </c>
      <c r="L54" s="10">
        <v>-4</v>
      </c>
      <c r="M54" s="10">
        <v>517</v>
      </c>
      <c r="N54" s="10">
        <f>IF(G54&lt;=Cutoffs!$B$4,4,IF(G54&lt;=Cutoffs!$C$4,3,IF(G54&lt;=Cutoffs!$D$4,2,1)))</f>
        <v>3</v>
      </c>
      <c r="O54" s="10">
        <f>IF(F54&gt;=Cutoffs!$D$5,4,IF(F54&gt;=Cutoffs!$C$5,3,IF(F54&gt;=Cutoffs!$B$5,2,1)))</f>
        <v>1</v>
      </c>
      <c r="P54" s="10">
        <f>IF(H54&gt;=Cutoffs!$D$6,4,IF(H54&gt;=Cutoffs!$C$6,3,IF(H54&gt;=Cutoffs!$B$6,2,1)))</f>
        <v>3</v>
      </c>
      <c r="Q54" s="10">
        <f t="shared" si="0"/>
        <v>7</v>
      </c>
      <c r="R54" s="10" t="str">
        <f t="shared" si="1"/>
        <v>Promising</v>
      </c>
    </row>
    <row r="55" spans="1:18" x14ac:dyDescent="0.55000000000000004">
      <c r="A55" s="10" t="s">
        <v>95</v>
      </c>
      <c r="B55" s="10" t="s">
        <v>43</v>
      </c>
      <c r="C55" s="10" t="s">
        <v>31</v>
      </c>
      <c r="D55" s="10" t="s">
        <v>32</v>
      </c>
      <c r="E55" s="10">
        <v>0</v>
      </c>
      <c r="F55" s="10">
        <v>32</v>
      </c>
      <c r="G55" s="10">
        <v>26</v>
      </c>
      <c r="H55" s="10">
        <v>13</v>
      </c>
      <c r="I55" s="11">
        <v>1.78</v>
      </c>
      <c r="J55" s="12">
        <v>0.56200000000000006</v>
      </c>
      <c r="K55" s="11">
        <v>4.05</v>
      </c>
      <c r="L55" s="10">
        <v>-24</v>
      </c>
      <c r="M55" s="10">
        <v>974</v>
      </c>
      <c r="N55" s="10">
        <f>IF(G55&lt;=Cutoffs!$B$4,4,IF(G55&lt;=Cutoffs!$C$4,3,IF(G55&lt;=Cutoffs!$D$4,2,1)))</f>
        <v>1</v>
      </c>
      <c r="O55" s="10">
        <f>IF(F55&gt;=Cutoffs!$D$5,4,IF(F55&gt;=Cutoffs!$C$5,3,IF(F55&gt;=Cutoffs!$B$5,2,1)))</f>
        <v>1</v>
      </c>
      <c r="P55" s="10">
        <f>IF(H55&gt;=Cutoffs!$D$6,4,IF(H55&gt;=Cutoffs!$C$6,3,IF(H55&gt;=Cutoffs!$B$6,2,1)))</f>
        <v>2</v>
      </c>
      <c r="Q55" s="10">
        <f t="shared" si="0"/>
        <v>4</v>
      </c>
      <c r="R55" s="10" t="str">
        <f t="shared" si="1"/>
        <v>Dormant</v>
      </c>
    </row>
    <row r="56" spans="1:18" x14ac:dyDescent="0.55000000000000004">
      <c r="A56" s="10" t="s">
        <v>96</v>
      </c>
      <c r="B56" s="10" t="s">
        <v>34</v>
      </c>
      <c r="C56" s="10" t="s">
        <v>35</v>
      </c>
      <c r="D56" s="10" t="s">
        <v>41</v>
      </c>
      <c r="E56" s="10">
        <v>0</v>
      </c>
      <c r="F56" s="10">
        <v>199</v>
      </c>
      <c r="G56" s="10">
        <v>2</v>
      </c>
      <c r="H56" s="10">
        <v>26</v>
      </c>
      <c r="I56" s="11">
        <v>11.71</v>
      </c>
      <c r="J56" s="12">
        <v>0.51800000000000002</v>
      </c>
      <c r="K56" s="11">
        <v>5.16</v>
      </c>
      <c r="L56" s="10">
        <v>199</v>
      </c>
      <c r="M56" s="10">
        <v>84</v>
      </c>
      <c r="N56" s="10">
        <f>IF(G56&lt;=Cutoffs!$B$4,4,IF(G56&lt;=Cutoffs!$C$4,3,IF(G56&lt;=Cutoffs!$D$4,2,1)))</f>
        <v>3</v>
      </c>
      <c r="O56" s="10">
        <f>IF(F56&gt;=Cutoffs!$D$5,4,IF(F56&gt;=Cutoffs!$C$5,3,IF(F56&gt;=Cutoffs!$B$5,2,1)))</f>
        <v>4</v>
      </c>
      <c r="P56" s="10">
        <f>IF(H56&gt;=Cutoffs!$D$6,4,IF(H56&gt;=Cutoffs!$C$6,3,IF(H56&gt;=Cutoffs!$B$6,2,1)))</f>
        <v>3</v>
      </c>
      <c r="Q56" s="10">
        <f t="shared" si="0"/>
        <v>10</v>
      </c>
      <c r="R56" s="10" t="str">
        <f t="shared" si="1"/>
        <v>Champions</v>
      </c>
    </row>
    <row r="57" spans="1:18" x14ac:dyDescent="0.55000000000000004">
      <c r="A57" s="10" t="s">
        <v>97</v>
      </c>
      <c r="B57" s="10" t="s">
        <v>34</v>
      </c>
      <c r="C57" s="10" t="s">
        <v>35</v>
      </c>
      <c r="D57" s="10" t="s">
        <v>41</v>
      </c>
      <c r="E57" s="10">
        <v>0</v>
      </c>
      <c r="F57" s="10">
        <v>39</v>
      </c>
      <c r="G57" s="10">
        <v>1</v>
      </c>
      <c r="H57" s="10">
        <v>8</v>
      </c>
      <c r="I57" s="11">
        <v>1.7</v>
      </c>
      <c r="J57" s="12">
        <v>0.53800000000000003</v>
      </c>
      <c r="K57" s="11">
        <v>3.41</v>
      </c>
      <c r="L57" s="10">
        <v>37</v>
      </c>
      <c r="M57" s="10">
        <v>786</v>
      </c>
      <c r="N57" s="10">
        <f>IF(G57&lt;=Cutoffs!$B$4,4,IF(G57&lt;=Cutoffs!$C$4,3,IF(G57&lt;=Cutoffs!$D$4,2,1)))</f>
        <v>4</v>
      </c>
      <c r="O57" s="10">
        <f>IF(F57&gt;=Cutoffs!$D$5,4,IF(F57&gt;=Cutoffs!$C$5,3,IF(F57&gt;=Cutoffs!$B$5,2,1)))</f>
        <v>1</v>
      </c>
      <c r="P57" s="10">
        <f>IF(H57&gt;=Cutoffs!$D$6,4,IF(H57&gt;=Cutoffs!$C$6,3,IF(H57&gt;=Cutoffs!$B$6,2,1)))</f>
        <v>1</v>
      </c>
      <c r="Q57" s="10">
        <f t="shared" si="0"/>
        <v>6</v>
      </c>
      <c r="R57" s="10" t="str">
        <f t="shared" si="1"/>
        <v>Promising</v>
      </c>
    </row>
    <row r="58" spans="1:18" x14ac:dyDescent="0.55000000000000004">
      <c r="A58" s="10" t="s">
        <v>98</v>
      </c>
      <c r="B58" s="10" t="s">
        <v>34</v>
      </c>
      <c r="C58" s="10" t="s">
        <v>35</v>
      </c>
      <c r="D58" s="10" t="s">
        <v>36</v>
      </c>
      <c r="E58" s="10">
        <v>0</v>
      </c>
      <c r="F58" s="10">
        <v>132</v>
      </c>
      <c r="G58" s="10">
        <v>1</v>
      </c>
      <c r="H58" s="10">
        <v>6</v>
      </c>
      <c r="I58" s="11">
        <v>3.3</v>
      </c>
      <c r="J58" s="12">
        <v>0.50800000000000001</v>
      </c>
      <c r="K58" s="11">
        <v>3.63</v>
      </c>
      <c r="L58" s="10">
        <v>132</v>
      </c>
      <c r="M58" s="10">
        <v>422</v>
      </c>
      <c r="N58" s="10">
        <f>IF(G58&lt;=Cutoffs!$B$4,4,IF(G58&lt;=Cutoffs!$C$4,3,IF(G58&lt;=Cutoffs!$D$4,2,1)))</f>
        <v>4</v>
      </c>
      <c r="O58" s="10">
        <f>IF(F58&gt;=Cutoffs!$D$5,4,IF(F58&gt;=Cutoffs!$C$5,3,IF(F58&gt;=Cutoffs!$B$5,2,1)))</f>
        <v>3</v>
      </c>
      <c r="P58" s="10">
        <f>IF(H58&gt;=Cutoffs!$D$6,4,IF(H58&gt;=Cutoffs!$C$6,3,IF(H58&gt;=Cutoffs!$B$6,2,1)))</f>
        <v>1</v>
      </c>
      <c r="Q58" s="10">
        <f t="shared" si="0"/>
        <v>8</v>
      </c>
      <c r="R58" s="10" t="str">
        <f t="shared" si="1"/>
        <v>Champions</v>
      </c>
    </row>
    <row r="59" spans="1:18" x14ac:dyDescent="0.55000000000000004">
      <c r="A59" s="10" t="s">
        <v>99</v>
      </c>
      <c r="B59" s="10" t="s">
        <v>30</v>
      </c>
      <c r="C59" s="10" t="s">
        <v>31</v>
      </c>
      <c r="D59" s="10" t="s">
        <v>44</v>
      </c>
      <c r="E59" s="10">
        <v>0</v>
      </c>
      <c r="F59" s="10">
        <v>31</v>
      </c>
      <c r="G59" s="10">
        <v>2</v>
      </c>
      <c r="H59" s="10">
        <v>23</v>
      </c>
      <c r="I59" s="11">
        <v>1.63</v>
      </c>
      <c r="J59" s="12">
        <v>0.38700000000000001</v>
      </c>
      <c r="K59" s="11">
        <v>3.32</v>
      </c>
      <c r="L59" s="10">
        <v>-7</v>
      </c>
      <c r="M59" s="10">
        <v>381</v>
      </c>
      <c r="N59" s="10">
        <f>IF(G59&lt;=Cutoffs!$B$4,4,IF(G59&lt;=Cutoffs!$C$4,3,IF(G59&lt;=Cutoffs!$D$4,2,1)))</f>
        <v>3</v>
      </c>
      <c r="O59" s="10">
        <f>IF(F59&gt;=Cutoffs!$D$5,4,IF(F59&gt;=Cutoffs!$C$5,3,IF(F59&gt;=Cutoffs!$B$5,2,1)))</f>
        <v>1</v>
      </c>
      <c r="P59" s="10">
        <f>IF(H59&gt;=Cutoffs!$D$6,4,IF(H59&gt;=Cutoffs!$C$6,3,IF(H59&gt;=Cutoffs!$B$6,2,1)))</f>
        <v>3</v>
      </c>
      <c r="Q59" s="10">
        <f t="shared" si="0"/>
        <v>7</v>
      </c>
      <c r="R59" s="10" t="str">
        <f t="shared" si="1"/>
        <v>Promising</v>
      </c>
    </row>
    <row r="60" spans="1:18" x14ac:dyDescent="0.55000000000000004">
      <c r="A60" s="10" t="s">
        <v>100</v>
      </c>
      <c r="B60" s="10" t="s">
        <v>34</v>
      </c>
      <c r="C60" s="10" t="s">
        <v>35</v>
      </c>
      <c r="D60" s="10" t="s">
        <v>44</v>
      </c>
      <c r="E60" s="10">
        <v>0</v>
      </c>
      <c r="F60" s="10">
        <v>60</v>
      </c>
      <c r="G60" s="10">
        <v>90</v>
      </c>
      <c r="H60" s="10">
        <v>6</v>
      </c>
      <c r="I60" s="11">
        <v>2.0699999999999998</v>
      </c>
      <c r="J60" s="12">
        <v>0.53300000000000003</v>
      </c>
      <c r="K60" s="11">
        <v>2.5099999999999998</v>
      </c>
      <c r="L60" s="10">
        <v>-60</v>
      </c>
      <c r="M60" s="10">
        <v>573</v>
      </c>
      <c r="N60" s="10">
        <f>IF(G60&lt;=Cutoffs!$B$4,4,IF(G60&lt;=Cutoffs!$C$4,3,IF(G60&lt;=Cutoffs!$D$4,2,1)))</f>
        <v>1</v>
      </c>
      <c r="O60" s="10">
        <f>IF(F60&gt;=Cutoffs!$D$5,4,IF(F60&gt;=Cutoffs!$C$5,3,IF(F60&gt;=Cutoffs!$B$5,2,1)))</f>
        <v>2</v>
      </c>
      <c r="P60" s="10">
        <f>IF(H60&gt;=Cutoffs!$D$6,4,IF(H60&gt;=Cutoffs!$C$6,3,IF(H60&gt;=Cutoffs!$B$6,2,1)))</f>
        <v>1</v>
      </c>
      <c r="Q60" s="10">
        <f t="shared" si="0"/>
        <v>4</v>
      </c>
      <c r="R60" s="10" t="str">
        <f t="shared" si="1"/>
        <v>Dormant</v>
      </c>
    </row>
    <row r="61" spans="1:18" x14ac:dyDescent="0.55000000000000004">
      <c r="A61" s="10" t="s">
        <v>101</v>
      </c>
      <c r="B61" s="10" t="s">
        <v>47</v>
      </c>
      <c r="C61" s="10" t="s">
        <v>35</v>
      </c>
      <c r="D61" s="10" t="s">
        <v>44</v>
      </c>
      <c r="E61" s="10">
        <v>0</v>
      </c>
      <c r="F61" s="10">
        <v>125</v>
      </c>
      <c r="G61" s="10">
        <v>3</v>
      </c>
      <c r="H61" s="10">
        <v>30</v>
      </c>
      <c r="I61" s="11">
        <v>3.91</v>
      </c>
      <c r="J61" s="12">
        <v>0.48799999999999999</v>
      </c>
      <c r="K61" s="11">
        <v>1.82</v>
      </c>
      <c r="L61" s="10">
        <v>119</v>
      </c>
      <c r="M61" s="10">
        <v>79</v>
      </c>
      <c r="N61" s="10">
        <f>IF(G61&lt;=Cutoffs!$B$4,4,IF(G61&lt;=Cutoffs!$C$4,3,IF(G61&lt;=Cutoffs!$D$4,2,1)))</f>
        <v>3</v>
      </c>
      <c r="O61" s="10">
        <f>IF(F61&gt;=Cutoffs!$D$5,4,IF(F61&gt;=Cutoffs!$C$5,3,IF(F61&gt;=Cutoffs!$B$5,2,1)))</f>
        <v>3</v>
      </c>
      <c r="P61" s="10">
        <f>IF(H61&gt;=Cutoffs!$D$6,4,IF(H61&gt;=Cutoffs!$C$6,3,IF(H61&gt;=Cutoffs!$B$6,2,1)))</f>
        <v>4</v>
      </c>
      <c r="Q61" s="10">
        <f t="shared" si="0"/>
        <v>10</v>
      </c>
      <c r="R61" s="10" t="str">
        <f t="shared" si="1"/>
        <v>Champions</v>
      </c>
    </row>
    <row r="62" spans="1:18" x14ac:dyDescent="0.55000000000000004">
      <c r="A62" s="10" t="s">
        <v>102</v>
      </c>
      <c r="B62" s="10" t="s">
        <v>58</v>
      </c>
      <c r="C62" s="10" t="s">
        <v>31</v>
      </c>
      <c r="D62" s="10" t="s">
        <v>41</v>
      </c>
      <c r="E62" s="10">
        <v>0</v>
      </c>
      <c r="F62" s="10">
        <v>55</v>
      </c>
      <c r="G62" s="10">
        <v>1</v>
      </c>
      <c r="H62" s="10">
        <v>25</v>
      </c>
      <c r="I62" s="11">
        <v>3.93</v>
      </c>
      <c r="J62" s="12">
        <v>0.38200000000000001</v>
      </c>
      <c r="K62" s="11">
        <v>3.13</v>
      </c>
      <c r="L62" s="10">
        <v>-15</v>
      </c>
      <c r="M62" s="10">
        <v>91</v>
      </c>
      <c r="N62" s="10">
        <f>IF(G62&lt;=Cutoffs!$B$4,4,IF(G62&lt;=Cutoffs!$C$4,3,IF(G62&lt;=Cutoffs!$D$4,2,1)))</f>
        <v>4</v>
      </c>
      <c r="O62" s="10">
        <f>IF(F62&gt;=Cutoffs!$D$5,4,IF(F62&gt;=Cutoffs!$C$5,3,IF(F62&gt;=Cutoffs!$B$5,2,1)))</f>
        <v>2</v>
      </c>
      <c r="P62" s="10">
        <f>IF(H62&gt;=Cutoffs!$D$6,4,IF(H62&gt;=Cutoffs!$C$6,3,IF(H62&gt;=Cutoffs!$B$6,2,1)))</f>
        <v>3</v>
      </c>
      <c r="Q62" s="10">
        <f t="shared" si="0"/>
        <v>9</v>
      </c>
      <c r="R62" s="10" t="str">
        <f t="shared" si="1"/>
        <v>Promising</v>
      </c>
    </row>
    <row r="63" spans="1:18" x14ac:dyDescent="0.55000000000000004">
      <c r="A63" s="10" t="s">
        <v>103</v>
      </c>
      <c r="B63" s="10" t="s">
        <v>47</v>
      </c>
      <c r="C63" s="10" t="s">
        <v>35</v>
      </c>
      <c r="D63" s="10" t="s">
        <v>41</v>
      </c>
      <c r="E63" s="10">
        <v>1</v>
      </c>
      <c r="F63" s="10">
        <v>200</v>
      </c>
      <c r="G63" s="10">
        <v>18</v>
      </c>
      <c r="H63" s="10">
        <v>16</v>
      </c>
      <c r="I63" s="11">
        <v>6.9</v>
      </c>
      <c r="J63" s="12">
        <v>0.44500000000000001</v>
      </c>
      <c r="K63" s="11">
        <v>4.3499999999999996</v>
      </c>
      <c r="L63" s="10">
        <v>22</v>
      </c>
      <c r="M63" s="10">
        <v>270</v>
      </c>
      <c r="N63" s="10">
        <f>IF(G63&lt;=Cutoffs!$B$4,4,IF(G63&lt;=Cutoffs!$C$4,3,IF(G63&lt;=Cutoffs!$D$4,2,1)))</f>
        <v>2</v>
      </c>
      <c r="O63" s="10">
        <f>IF(F63&gt;=Cutoffs!$D$5,4,IF(F63&gt;=Cutoffs!$C$5,3,IF(F63&gt;=Cutoffs!$B$5,2,1)))</f>
        <v>4</v>
      </c>
      <c r="P63" s="10">
        <f>IF(H63&gt;=Cutoffs!$D$6,4,IF(H63&gt;=Cutoffs!$C$6,3,IF(H63&gt;=Cutoffs!$B$6,2,1)))</f>
        <v>2</v>
      </c>
      <c r="Q63" s="10">
        <f t="shared" si="0"/>
        <v>8</v>
      </c>
      <c r="R63" s="10" t="str">
        <f t="shared" si="1"/>
        <v>At risk</v>
      </c>
    </row>
    <row r="64" spans="1:18" x14ac:dyDescent="0.55000000000000004">
      <c r="A64" s="10" t="s">
        <v>104</v>
      </c>
      <c r="B64" s="10" t="s">
        <v>58</v>
      </c>
      <c r="C64" s="10" t="s">
        <v>31</v>
      </c>
      <c r="D64" s="10" t="s">
        <v>39</v>
      </c>
      <c r="E64" s="10">
        <v>1</v>
      </c>
      <c r="F64" s="10">
        <v>107</v>
      </c>
      <c r="G64" s="10">
        <v>26</v>
      </c>
      <c r="H64" s="10">
        <v>3</v>
      </c>
      <c r="I64" s="11">
        <v>2.4900000000000002</v>
      </c>
      <c r="J64" s="12">
        <v>0.38300000000000001</v>
      </c>
      <c r="K64" s="11">
        <v>1.73</v>
      </c>
      <c r="L64" s="10">
        <v>-3</v>
      </c>
      <c r="M64" s="10">
        <v>81</v>
      </c>
      <c r="N64" s="10">
        <f>IF(G64&lt;=Cutoffs!$B$4,4,IF(G64&lt;=Cutoffs!$C$4,3,IF(G64&lt;=Cutoffs!$D$4,2,1)))</f>
        <v>1</v>
      </c>
      <c r="O64" s="10">
        <f>IF(F64&gt;=Cutoffs!$D$5,4,IF(F64&gt;=Cutoffs!$C$5,3,IF(F64&gt;=Cutoffs!$B$5,2,1)))</f>
        <v>3</v>
      </c>
      <c r="P64" s="10">
        <f>IF(H64&gt;=Cutoffs!$D$6,4,IF(H64&gt;=Cutoffs!$C$6,3,IF(H64&gt;=Cutoffs!$B$6,2,1)))</f>
        <v>1</v>
      </c>
      <c r="Q64" s="10">
        <f t="shared" si="0"/>
        <v>5</v>
      </c>
      <c r="R64" s="10" t="str">
        <f t="shared" si="1"/>
        <v>At risk</v>
      </c>
    </row>
    <row r="65" spans="1:18" x14ac:dyDescent="0.55000000000000004">
      <c r="A65" s="10" t="s">
        <v>105</v>
      </c>
      <c r="B65" s="10" t="s">
        <v>47</v>
      </c>
      <c r="C65" s="10" t="s">
        <v>35</v>
      </c>
      <c r="D65" s="10" t="s">
        <v>41</v>
      </c>
      <c r="E65" s="10">
        <v>0</v>
      </c>
      <c r="F65" s="10">
        <v>193</v>
      </c>
      <c r="G65" s="10">
        <v>11</v>
      </c>
      <c r="H65" s="10">
        <v>8</v>
      </c>
      <c r="I65" s="11">
        <v>4.2</v>
      </c>
      <c r="J65" s="12">
        <v>0.53400000000000003</v>
      </c>
      <c r="K65" s="11">
        <v>4.33</v>
      </c>
      <c r="L65" s="10">
        <v>3</v>
      </c>
      <c r="M65" s="10">
        <v>243</v>
      </c>
      <c r="N65" s="10">
        <f>IF(G65&lt;=Cutoffs!$B$4,4,IF(G65&lt;=Cutoffs!$C$4,3,IF(G65&lt;=Cutoffs!$D$4,2,1)))</f>
        <v>2</v>
      </c>
      <c r="O65" s="10">
        <f>IF(F65&gt;=Cutoffs!$D$5,4,IF(F65&gt;=Cutoffs!$C$5,3,IF(F65&gt;=Cutoffs!$B$5,2,1)))</f>
        <v>4</v>
      </c>
      <c r="P65" s="10">
        <f>IF(H65&gt;=Cutoffs!$D$6,4,IF(H65&gt;=Cutoffs!$C$6,3,IF(H65&gt;=Cutoffs!$B$6,2,1)))</f>
        <v>1</v>
      </c>
      <c r="Q65" s="10">
        <f t="shared" si="0"/>
        <v>7</v>
      </c>
      <c r="R65" s="10" t="str">
        <f t="shared" si="1"/>
        <v>At risk</v>
      </c>
    </row>
    <row r="66" spans="1:18" x14ac:dyDescent="0.55000000000000004">
      <c r="A66" s="10" t="s">
        <v>106</v>
      </c>
      <c r="B66" s="10" t="s">
        <v>38</v>
      </c>
      <c r="C66" s="10" t="s">
        <v>35</v>
      </c>
      <c r="D66" s="10" t="s">
        <v>39</v>
      </c>
      <c r="E66" s="10">
        <v>0</v>
      </c>
      <c r="F66" s="10">
        <v>196</v>
      </c>
      <c r="G66" s="10">
        <v>10</v>
      </c>
      <c r="H66" s="10">
        <v>51</v>
      </c>
      <c r="I66" s="11">
        <v>6.76</v>
      </c>
      <c r="J66" s="12">
        <v>0.48499999999999999</v>
      </c>
      <c r="K66" s="11">
        <v>2.11</v>
      </c>
      <c r="L66" s="10">
        <v>-54</v>
      </c>
      <c r="M66" s="10">
        <v>515</v>
      </c>
      <c r="N66" s="10">
        <f>IF(G66&lt;=Cutoffs!$B$4,4,IF(G66&lt;=Cutoffs!$C$4,3,IF(G66&lt;=Cutoffs!$D$4,2,1)))</f>
        <v>2</v>
      </c>
      <c r="O66" s="10">
        <f>IF(F66&gt;=Cutoffs!$D$5,4,IF(F66&gt;=Cutoffs!$C$5,3,IF(F66&gt;=Cutoffs!$B$5,2,1)))</f>
        <v>4</v>
      </c>
      <c r="P66" s="10">
        <f>IF(H66&gt;=Cutoffs!$D$6,4,IF(H66&gt;=Cutoffs!$C$6,3,IF(H66&gt;=Cutoffs!$B$6,2,1)))</f>
        <v>4</v>
      </c>
      <c r="Q66" s="10">
        <f t="shared" ref="Q66:Q129" si="2">N66+O66+P66</f>
        <v>10</v>
      </c>
      <c r="R66" s="10" t="str">
        <f t="shared" ref="R66:R129" si="3">IF(AND(N66&gt;=3,O66&gt;=3),"Champions",IF(N66&gt;=3,"Promising",IF(AND(O66&gt;=3,N66&lt;=2),"At risk",IF(N66=2,"Cooling","Dormant"))))</f>
        <v>At risk</v>
      </c>
    </row>
    <row r="67" spans="1:18" x14ac:dyDescent="0.55000000000000004">
      <c r="A67" s="10" t="s">
        <v>107</v>
      </c>
      <c r="B67" s="10" t="s">
        <v>47</v>
      </c>
      <c r="C67" s="10" t="s">
        <v>35</v>
      </c>
      <c r="D67" s="10" t="s">
        <v>41</v>
      </c>
      <c r="E67" s="10">
        <v>0</v>
      </c>
      <c r="F67" s="10">
        <v>121</v>
      </c>
      <c r="G67" s="10">
        <v>13</v>
      </c>
      <c r="H67" s="10">
        <v>27</v>
      </c>
      <c r="I67" s="11">
        <v>3.67</v>
      </c>
      <c r="J67" s="12">
        <v>0.56999999999999995</v>
      </c>
      <c r="K67" s="11">
        <v>4.28</v>
      </c>
      <c r="L67" s="10">
        <v>21</v>
      </c>
      <c r="M67" s="10">
        <v>261</v>
      </c>
      <c r="N67" s="10">
        <f>IF(G67&lt;=Cutoffs!$B$4,4,IF(G67&lt;=Cutoffs!$C$4,3,IF(G67&lt;=Cutoffs!$D$4,2,1)))</f>
        <v>2</v>
      </c>
      <c r="O67" s="10">
        <f>IF(F67&gt;=Cutoffs!$D$5,4,IF(F67&gt;=Cutoffs!$C$5,3,IF(F67&gt;=Cutoffs!$B$5,2,1)))</f>
        <v>3</v>
      </c>
      <c r="P67" s="10">
        <f>IF(H67&gt;=Cutoffs!$D$6,4,IF(H67&gt;=Cutoffs!$C$6,3,IF(H67&gt;=Cutoffs!$B$6,2,1)))</f>
        <v>3</v>
      </c>
      <c r="Q67" s="10">
        <f t="shared" si="2"/>
        <v>8</v>
      </c>
      <c r="R67" s="10" t="str">
        <f t="shared" si="3"/>
        <v>At risk</v>
      </c>
    </row>
    <row r="68" spans="1:18" x14ac:dyDescent="0.55000000000000004">
      <c r="A68" s="10" t="s">
        <v>108</v>
      </c>
      <c r="B68" s="10" t="s">
        <v>38</v>
      </c>
      <c r="C68" s="10" t="s">
        <v>35</v>
      </c>
      <c r="D68" s="10" t="s">
        <v>32</v>
      </c>
      <c r="E68" s="10">
        <v>0</v>
      </c>
      <c r="F68" s="10">
        <v>111</v>
      </c>
      <c r="G68" s="10">
        <v>2</v>
      </c>
      <c r="H68" s="10">
        <v>17</v>
      </c>
      <c r="I68" s="11">
        <v>3</v>
      </c>
      <c r="J68" s="12">
        <v>0.51300000000000001</v>
      </c>
      <c r="K68" s="11">
        <v>5</v>
      </c>
      <c r="L68" s="10">
        <v>7</v>
      </c>
      <c r="M68" s="10">
        <v>242</v>
      </c>
      <c r="N68" s="10">
        <f>IF(G68&lt;=Cutoffs!$B$4,4,IF(G68&lt;=Cutoffs!$C$4,3,IF(G68&lt;=Cutoffs!$D$4,2,1)))</f>
        <v>3</v>
      </c>
      <c r="O68" s="10">
        <f>IF(F68&gt;=Cutoffs!$D$5,4,IF(F68&gt;=Cutoffs!$C$5,3,IF(F68&gt;=Cutoffs!$B$5,2,1)))</f>
        <v>3</v>
      </c>
      <c r="P68" s="10">
        <f>IF(H68&gt;=Cutoffs!$D$6,4,IF(H68&gt;=Cutoffs!$C$6,3,IF(H68&gt;=Cutoffs!$B$6,2,1)))</f>
        <v>2</v>
      </c>
      <c r="Q68" s="10">
        <f t="shared" si="2"/>
        <v>8</v>
      </c>
      <c r="R68" s="10" t="str">
        <f t="shared" si="3"/>
        <v>Champions</v>
      </c>
    </row>
    <row r="69" spans="1:18" x14ac:dyDescent="0.55000000000000004">
      <c r="A69" s="10" t="s">
        <v>109</v>
      </c>
      <c r="B69" s="10" t="s">
        <v>38</v>
      </c>
      <c r="C69" s="10" t="s">
        <v>35</v>
      </c>
      <c r="D69" s="10" t="s">
        <v>32</v>
      </c>
      <c r="E69" s="10">
        <v>0</v>
      </c>
      <c r="F69" s="10">
        <v>176</v>
      </c>
      <c r="G69" s="10">
        <v>2</v>
      </c>
      <c r="H69" s="10">
        <v>13</v>
      </c>
      <c r="I69" s="11">
        <v>2.29</v>
      </c>
      <c r="J69" s="12">
        <v>0.50600000000000001</v>
      </c>
      <c r="K69" s="11">
        <v>3.69</v>
      </c>
      <c r="L69" s="10">
        <v>12</v>
      </c>
      <c r="M69" s="10">
        <v>561</v>
      </c>
      <c r="N69" s="10">
        <f>IF(G69&lt;=Cutoffs!$B$4,4,IF(G69&lt;=Cutoffs!$C$4,3,IF(G69&lt;=Cutoffs!$D$4,2,1)))</f>
        <v>3</v>
      </c>
      <c r="O69" s="10">
        <f>IF(F69&gt;=Cutoffs!$D$5,4,IF(F69&gt;=Cutoffs!$C$5,3,IF(F69&gt;=Cutoffs!$B$5,2,1)))</f>
        <v>4</v>
      </c>
      <c r="P69" s="10">
        <f>IF(H69&gt;=Cutoffs!$D$6,4,IF(H69&gt;=Cutoffs!$C$6,3,IF(H69&gt;=Cutoffs!$B$6,2,1)))</f>
        <v>2</v>
      </c>
      <c r="Q69" s="10">
        <f t="shared" si="2"/>
        <v>9</v>
      </c>
      <c r="R69" s="10" t="str">
        <f t="shared" si="3"/>
        <v>Champions</v>
      </c>
    </row>
    <row r="70" spans="1:18" x14ac:dyDescent="0.55000000000000004">
      <c r="A70" s="10" t="s">
        <v>110</v>
      </c>
      <c r="B70" s="10" t="s">
        <v>38</v>
      </c>
      <c r="C70" s="10" t="s">
        <v>35</v>
      </c>
      <c r="D70" s="10" t="s">
        <v>39</v>
      </c>
      <c r="E70" s="10">
        <v>0</v>
      </c>
      <c r="F70" s="10">
        <v>108</v>
      </c>
      <c r="G70" s="10">
        <v>1</v>
      </c>
      <c r="H70" s="10">
        <v>18</v>
      </c>
      <c r="I70" s="11">
        <v>4.1500000000000004</v>
      </c>
      <c r="J70" s="12">
        <v>0.55600000000000005</v>
      </c>
      <c r="K70" s="11">
        <v>2.79</v>
      </c>
      <c r="L70" s="10">
        <v>40</v>
      </c>
      <c r="M70" s="10">
        <v>855</v>
      </c>
      <c r="N70" s="10">
        <f>IF(G70&lt;=Cutoffs!$B$4,4,IF(G70&lt;=Cutoffs!$C$4,3,IF(G70&lt;=Cutoffs!$D$4,2,1)))</f>
        <v>4</v>
      </c>
      <c r="O70" s="10">
        <f>IF(F70&gt;=Cutoffs!$D$5,4,IF(F70&gt;=Cutoffs!$C$5,3,IF(F70&gt;=Cutoffs!$B$5,2,1)))</f>
        <v>3</v>
      </c>
      <c r="P70" s="10">
        <f>IF(H70&gt;=Cutoffs!$D$6,4,IF(H70&gt;=Cutoffs!$C$6,3,IF(H70&gt;=Cutoffs!$B$6,2,1)))</f>
        <v>2</v>
      </c>
      <c r="Q70" s="10">
        <f t="shared" si="2"/>
        <v>9</v>
      </c>
      <c r="R70" s="10" t="str">
        <f t="shared" si="3"/>
        <v>Champions</v>
      </c>
    </row>
    <row r="71" spans="1:18" x14ac:dyDescent="0.55000000000000004">
      <c r="A71" s="10" t="s">
        <v>111</v>
      </c>
      <c r="B71" s="10" t="s">
        <v>47</v>
      </c>
      <c r="C71" s="10" t="s">
        <v>35</v>
      </c>
      <c r="D71" s="10" t="s">
        <v>32</v>
      </c>
      <c r="E71" s="10">
        <v>1</v>
      </c>
      <c r="F71" s="10">
        <v>91</v>
      </c>
      <c r="G71" s="10">
        <v>23</v>
      </c>
      <c r="H71" s="10">
        <v>14</v>
      </c>
      <c r="I71" s="11">
        <v>5.35</v>
      </c>
      <c r="J71" s="12">
        <v>0.57099999999999995</v>
      </c>
      <c r="K71" s="11">
        <v>4.1100000000000003</v>
      </c>
      <c r="L71" s="10">
        <v>-53</v>
      </c>
      <c r="M71" s="10">
        <v>215</v>
      </c>
      <c r="N71" s="10">
        <f>IF(G71&lt;=Cutoffs!$B$4,4,IF(G71&lt;=Cutoffs!$C$4,3,IF(G71&lt;=Cutoffs!$D$4,2,1)))</f>
        <v>1</v>
      </c>
      <c r="O71" s="10">
        <f>IF(F71&gt;=Cutoffs!$D$5,4,IF(F71&gt;=Cutoffs!$C$5,3,IF(F71&gt;=Cutoffs!$B$5,2,1)))</f>
        <v>2</v>
      </c>
      <c r="P71" s="10">
        <f>IF(H71&gt;=Cutoffs!$D$6,4,IF(H71&gt;=Cutoffs!$C$6,3,IF(H71&gt;=Cutoffs!$B$6,2,1)))</f>
        <v>2</v>
      </c>
      <c r="Q71" s="10">
        <f t="shared" si="2"/>
        <v>5</v>
      </c>
      <c r="R71" s="10" t="str">
        <f t="shared" si="3"/>
        <v>Dormant</v>
      </c>
    </row>
    <row r="72" spans="1:18" x14ac:dyDescent="0.55000000000000004">
      <c r="A72" s="10" t="s">
        <v>112</v>
      </c>
      <c r="B72" s="10" t="s">
        <v>30</v>
      </c>
      <c r="C72" s="10" t="s">
        <v>31</v>
      </c>
      <c r="D72" s="10" t="s">
        <v>32</v>
      </c>
      <c r="E72" s="10">
        <v>0</v>
      </c>
      <c r="F72" s="10">
        <v>80</v>
      </c>
      <c r="G72" s="10">
        <v>1</v>
      </c>
      <c r="H72" s="10">
        <v>34</v>
      </c>
      <c r="I72" s="11">
        <v>3.81</v>
      </c>
      <c r="J72" s="12">
        <v>0.46300000000000002</v>
      </c>
      <c r="K72" s="11">
        <v>2.82</v>
      </c>
      <c r="L72" s="10">
        <v>80</v>
      </c>
      <c r="M72" s="10">
        <v>264</v>
      </c>
      <c r="N72" s="10">
        <f>IF(G72&lt;=Cutoffs!$B$4,4,IF(G72&lt;=Cutoffs!$C$4,3,IF(G72&lt;=Cutoffs!$D$4,2,1)))</f>
        <v>4</v>
      </c>
      <c r="O72" s="10">
        <f>IF(F72&gt;=Cutoffs!$D$5,4,IF(F72&gt;=Cutoffs!$C$5,3,IF(F72&gt;=Cutoffs!$B$5,2,1)))</f>
        <v>2</v>
      </c>
      <c r="P72" s="10">
        <f>IF(H72&gt;=Cutoffs!$D$6,4,IF(H72&gt;=Cutoffs!$C$6,3,IF(H72&gt;=Cutoffs!$B$6,2,1)))</f>
        <v>4</v>
      </c>
      <c r="Q72" s="10">
        <f t="shared" si="2"/>
        <v>10</v>
      </c>
      <c r="R72" s="10" t="str">
        <f t="shared" si="3"/>
        <v>Promising</v>
      </c>
    </row>
    <row r="73" spans="1:18" x14ac:dyDescent="0.55000000000000004">
      <c r="A73" s="10" t="s">
        <v>113</v>
      </c>
      <c r="B73" s="10" t="s">
        <v>47</v>
      </c>
      <c r="C73" s="10" t="s">
        <v>35</v>
      </c>
      <c r="D73" s="10" t="s">
        <v>36</v>
      </c>
      <c r="E73" s="10">
        <v>0</v>
      </c>
      <c r="F73" s="10">
        <v>68</v>
      </c>
      <c r="G73" s="10">
        <v>1</v>
      </c>
      <c r="H73" s="10">
        <v>23</v>
      </c>
      <c r="I73" s="11">
        <v>4</v>
      </c>
      <c r="J73" s="12">
        <v>0.58799999999999997</v>
      </c>
      <c r="K73" s="11">
        <v>3.4</v>
      </c>
      <c r="L73" s="10">
        <v>40</v>
      </c>
      <c r="M73" s="10">
        <v>43</v>
      </c>
      <c r="N73" s="10">
        <f>IF(G73&lt;=Cutoffs!$B$4,4,IF(G73&lt;=Cutoffs!$C$4,3,IF(G73&lt;=Cutoffs!$D$4,2,1)))</f>
        <v>4</v>
      </c>
      <c r="O73" s="10">
        <f>IF(F73&gt;=Cutoffs!$D$5,4,IF(F73&gt;=Cutoffs!$C$5,3,IF(F73&gt;=Cutoffs!$B$5,2,1)))</f>
        <v>2</v>
      </c>
      <c r="P73" s="10">
        <f>IF(H73&gt;=Cutoffs!$D$6,4,IF(H73&gt;=Cutoffs!$C$6,3,IF(H73&gt;=Cutoffs!$B$6,2,1)))</f>
        <v>3</v>
      </c>
      <c r="Q73" s="10">
        <f t="shared" si="2"/>
        <v>9</v>
      </c>
      <c r="R73" s="10" t="str">
        <f t="shared" si="3"/>
        <v>Promising</v>
      </c>
    </row>
    <row r="74" spans="1:18" x14ac:dyDescent="0.55000000000000004">
      <c r="A74" s="10" t="s">
        <v>114</v>
      </c>
      <c r="B74" s="10" t="s">
        <v>43</v>
      </c>
      <c r="C74" s="10" t="s">
        <v>31</v>
      </c>
      <c r="D74" s="10" t="s">
        <v>36</v>
      </c>
      <c r="E74" s="10">
        <v>0</v>
      </c>
      <c r="F74" s="10">
        <v>193</v>
      </c>
      <c r="G74" s="10">
        <v>2</v>
      </c>
      <c r="H74" s="10">
        <v>39</v>
      </c>
      <c r="I74" s="11">
        <v>4.3899999999999997</v>
      </c>
      <c r="J74" s="12">
        <v>0.48199999999999998</v>
      </c>
      <c r="K74" s="11">
        <v>3.58</v>
      </c>
      <c r="L74" s="10">
        <v>1</v>
      </c>
      <c r="M74" s="10">
        <v>305</v>
      </c>
      <c r="N74" s="10">
        <f>IF(G74&lt;=Cutoffs!$B$4,4,IF(G74&lt;=Cutoffs!$C$4,3,IF(G74&lt;=Cutoffs!$D$4,2,1)))</f>
        <v>3</v>
      </c>
      <c r="O74" s="10">
        <f>IF(F74&gt;=Cutoffs!$D$5,4,IF(F74&gt;=Cutoffs!$C$5,3,IF(F74&gt;=Cutoffs!$B$5,2,1)))</f>
        <v>4</v>
      </c>
      <c r="P74" s="10">
        <f>IF(H74&gt;=Cutoffs!$D$6,4,IF(H74&gt;=Cutoffs!$C$6,3,IF(H74&gt;=Cutoffs!$B$6,2,1)))</f>
        <v>4</v>
      </c>
      <c r="Q74" s="10">
        <f t="shared" si="2"/>
        <v>11</v>
      </c>
      <c r="R74" s="10" t="str">
        <f t="shared" si="3"/>
        <v>Champions</v>
      </c>
    </row>
    <row r="75" spans="1:18" x14ac:dyDescent="0.55000000000000004">
      <c r="A75" s="10" t="s">
        <v>115</v>
      </c>
      <c r="B75" s="10" t="s">
        <v>38</v>
      </c>
      <c r="C75" s="10" t="s">
        <v>35</v>
      </c>
      <c r="D75" s="10" t="s">
        <v>39</v>
      </c>
      <c r="E75" s="10">
        <v>0</v>
      </c>
      <c r="F75" s="10">
        <v>139</v>
      </c>
      <c r="G75" s="10">
        <v>45</v>
      </c>
      <c r="H75" s="10">
        <v>33</v>
      </c>
      <c r="I75" s="11">
        <v>4.4800000000000004</v>
      </c>
      <c r="J75" s="12">
        <v>0.504</v>
      </c>
      <c r="K75" s="11">
        <v>4.58</v>
      </c>
      <c r="L75" s="10">
        <v>-115</v>
      </c>
      <c r="M75" s="10">
        <v>572</v>
      </c>
      <c r="N75" s="10">
        <f>IF(G75&lt;=Cutoffs!$B$4,4,IF(G75&lt;=Cutoffs!$C$4,3,IF(G75&lt;=Cutoffs!$D$4,2,1)))</f>
        <v>1</v>
      </c>
      <c r="O75" s="10">
        <f>IF(F75&gt;=Cutoffs!$D$5,4,IF(F75&gt;=Cutoffs!$C$5,3,IF(F75&gt;=Cutoffs!$B$5,2,1)))</f>
        <v>3</v>
      </c>
      <c r="P75" s="10">
        <f>IF(H75&gt;=Cutoffs!$D$6,4,IF(H75&gt;=Cutoffs!$C$6,3,IF(H75&gt;=Cutoffs!$B$6,2,1)))</f>
        <v>4</v>
      </c>
      <c r="Q75" s="10">
        <f t="shared" si="2"/>
        <v>8</v>
      </c>
      <c r="R75" s="10" t="str">
        <f t="shared" si="3"/>
        <v>At risk</v>
      </c>
    </row>
    <row r="76" spans="1:18" x14ac:dyDescent="0.55000000000000004">
      <c r="A76" s="10" t="s">
        <v>116</v>
      </c>
      <c r="B76" s="10" t="s">
        <v>34</v>
      </c>
      <c r="C76" s="10" t="s">
        <v>35</v>
      </c>
      <c r="D76" s="10" t="s">
        <v>41</v>
      </c>
      <c r="E76" s="10">
        <v>0</v>
      </c>
      <c r="F76" s="10">
        <v>130</v>
      </c>
      <c r="G76" s="10">
        <v>0</v>
      </c>
      <c r="H76" s="10">
        <v>18</v>
      </c>
      <c r="I76" s="11">
        <v>2.77</v>
      </c>
      <c r="J76" s="12">
        <v>0.48499999999999999</v>
      </c>
      <c r="K76" s="11">
        <v>2.68</v>
      </c>
      <c r="L76" s="10">
        <v>4</v>
      </c>
      <c r="M76" s="10">
        <v>438</v>
      </c>
      <c r="N76" s="10">
        <f>IF(G76&lt;=Cutoffs!$B$4,4,IF(G76&lt;=Cutoffs!$C$4,3,IF(G76&lt;=Cutoffs!$D$4,2,1)))</f>
        <v>4</v>
      </c>
      <c r="O76" s="10">
        <f>IF(F76&gt;=Cutoffs!$D$5,4,IF(F76&gt;=Cutoffs!$C$5,3,IF(F76&gt;=Cutoffs!$B$5,2,1)))</f>
        <v>3</v>
      </c>
      <c r="P76" s="10">
        <f>IF(H76&gt;=Cutoffs!$D$6,4,IF(H76&gt;=Cutoffs!$C$6,3,IF(H76&gt;=Cutoffs!$B$6,2,1)))</f>
        <v>2</v>
      </c>
      <c r="Q76" s="10">
        <f t="shared" si="2"/>
        <v>9</v>
      </c>
      <c r="R76" s="10" t="str">
        <f t="shared" si="3"/>
        <v>Champions</v>
      </c>
    </row>
    <row r="77" spans="1:18" x14ac:dyDescent="0.55000000000000004">
      <c r="A77" s="10" t="s">
        <v>117</v>
      </c>
      <c r="B77" s="10" t="s">
        <v>47</v>
      </c>
      <c r="C77" s="10" t="s">
        <v>35</v>
      </c>
      <c r="D77" s="10" t="s">
        <v>44</v>
      </c>
      <c r="E77" s="10">
        <v>1</v>
      </c>
      <c r="F77" s="10">
        <v>37</v>
      </c>
      <c r="G77" s="10">
        <v>10</v>
      </c>
      <c r="H77" s="10">
        <v>4</v>
      </c>
      <c r="I77" s="11">
        <v>5.29</v>
      </c>
      <c r="J77" s="12">
        <v>0.48599999999999999</v>
      </c>
      <c r="K77" s="11">
        <v>3.03</v>
      </c>
      <c r="L77" s="10">
        <v>37</v>
      </c>
      <c r="M77" s="10">
        <v>81</v>
      </c>
      <c r="N77" s="10">
        <f>IF(G77&lt;=Cutoffs!$B$4,4,IF(G77&lt;=Cutoffs!$C$4,3,IF(G77&lt;=Cutoffs!$D$4,2,1)))</f>
        <v>2</v>
      </c>
      <c r="O77" s="10">
        <f>IF(F77&gt;=Cutoffs!$D$5,4,IF(F77&gt;=Cutoffs!$C$5,3,IF(F77&gt;=Cutoffs!$B$5,2,1)))</f>
        <v>1</v>
      </c>
      <c r="P77" s="10">
        <f>IF(H77&gt;=Cutoffs!$D$6,4,IF(H77&gt;=Cutoffs!$C$6,3,IF(H77&gt;=Cutoffs!$B$6,2,1)))</f>
        <v>1</v>
      </c>
      <c r="Q77" s="10">
        <f t="shared" si="2"/>
        <v>4</v>
      </c>
      <c r="R77" s="10" t="str">
        <f t="shared" si="3"/>
        <v>Cooling</v>
      </c>
    </row>
    <row r="78" spans="1:18" x14ac:dyDescent="0.55000000000000004">
      <c r="A78" s="10" t="s">
        <v>118</v>
      </c>
      <c r="B78" s="10" t="s">
        <v>47</v>
      </c>
      <c r="C78" s="10" t="s">
        <v>35</v>
      </c>
      <c r="D78" s="10" t="s">
        <v>41</v>
      </c>
      <c r="E78" s="10">
        <v>0</v>
      </c>
      <c r="F78" s="10">
        <v>183</v>
      </c>
      <c r="G78" s="10">
        <v>49</v>
      </c>
      <c r="H78" s="10">
        <v>15</v>
      </c>
      <c r="I78" s="11">
        <v>4.3600000000000003</v>
      </c>
      <c r="J78" s="12">
        <v>0.52500000000000002</v>
      </c>
      <c r="K78" s="11">
        <v>3.56</v>
      </c>
      <c r="L78" s="10">
        <v>-127</v>
      </c>
      <c r="M78" s="10">
        <v>513</v>
      </c>
      <c r="N78" s="10">
        <f>IF(G78&lt;=Cutoffs!$B$4,4,IF(G78&lt;=Cutoffs!$C$4,3,IF(G78&lt;=Cutoffs!$D$4,2,1)))</f>
        <v>1</v>
      </c>
      <c r="O78" s="10">
        <f>IF(F78&gt;=Cutoffs!$D$5,4,IF(F78&gt;=Cutoffs!$C$5,3,IF(F78&gt;=Cutoffs!$B$5,2,1)))</f>
        <v>4</v>
      </c>
      <c r="P78" s="10">
        <f>IF(H78&gt;=Cutoffs!$D$6,4,IF(H78&gt;=Cutoffs!$C$6,3,IF(H78&gt;=Cutoffs!$B$6,2,1)))</f>
        <v>2</v>
      </c>
      <c r="Q78" s="10">
        <f t="shared" si="2"/>
        <v>7</v>
      </c>
      <c r="R78" s="10" t="str">
        <f t="shared" si="3"/>
        <v>At risk</v>
      </c>
    </row>
    <row r="79" spans="1:18" x14ac:dyDescent="0.55000000000000004">
      <c r="A79" s="10" t="s">
        <v>119</v>
      </c>
      <c r="B79" s="10" t="s">
        <v>34</v>
      </c>
      <c r="C79" s="10" t="s">
        <v>35</v>
      </c>
      <c r="D79" s="10" t="s">
        <v>41</v>
      </c>
      <c r="E79" s="10">
        <v>0</v>
      </c>
      <c r="F79" s="10">
        <v>60</v>
      </c>
      <c r="G79" s="10">
        <v>20</v>
      </c>
      <c r="H79" s="10">
        <v>21</v>
      </c>
      <c r="I79" s="11">
        <v>2.73</v>
      </c>
      <c r="J79" s="12">
        <v>0.46700000000000003</v>
      </c>
      <c r="K79" s="11">
        <v>5.13</v>
      </c>
      <c r="L79" s="10">
        <v>2</v>
      </c>
      <c r="M79" s="10">
        <v>520</v>
      </c>
      <c r="N79" s="10">
        <f>IF(G79&lt;=Cutoffs!$B$4,4,IF(G79&lt;=Cutoffs!$C$4,3,IF(G79&lt;=Cutoffs!$D$4,2,1)))</f>
        <v>2</v>
      </c>
      <c r="O79" s="10">
        <f>IF(F79&gt;=Cutoffs!$D$5,4,IF(F79&gt;=Cutoffs!$C$5,3,IF(F79&gt;=Cutoffs!$B$5,2,1)))</f>
        <v>2</v>
      </c>
      <c r="P79" s="10">
        <f>IF(H79&gt;=Cutoffs!$D$6,4,IF(H79&gt;=Cutoffs!$C$6,3,IF(H79&gt;=Cutoffs!$B$6,2,1)))</f>
        <v>3</v>
      </c>
      <c r="Q79" s="10">
        <f t="shared" si="2"/>
        <v>7</v>
      </c>
      <c r="R79" s="10" t="str">
        <f t="shared" si="3"/>
        <v>Cooling</v>
      </c>
    </row>
    <row r="80" spans="1:18" x14ac:dyDescent="0.55000000000000004">
      <c r="A80" s="10" t="s">
        <v>120</v>
      </c>
      <c r="B80" s="10" t="s">
        <v>34</v>
      </c>
      <c r="C80" s="10" t="s">
        <v>35</v>
      </c>
      <c r="D80" s="10" t="s">
        <v>41</v>
      </c>
      <c r="E80" s="10">
        <v>0</v>
      </c>
      <c r="F80" s="10">
        <v>130</v>
      </c>
      <c r="G80" s="10">
        <v>40</v>
      </c>
      <c r="H80" s="10">
        <v>17</v>
      </c>
      <c r="I80" s="11">
        <v>3.94</v>
      </c>
      <c r="J80" s="12">
        <v>0.50800000000000001</v>
      </c>
      <c r="K80" s="11">
        <v>5.13</v>
      </c>
      <c r="L80" s="10">
        <v>22</v>
      </c>
      <c r="M80" s="10">
        <v>813</v>
      </c>
      <c r="N80" s="10">
        <f>IF(G80&lt;=Cutoffs!$B$4,4,IF(G80&lt;=Cutoffs!$C$4,3,IF(G80&lt;=Cutoffs!$D$4,2,1)))</f>
        <v>1</v>
      </c>
      <c r="O80" s="10">
        <f>IF(F80&gt;=Cutoffs!$D$5,4,IF(F80&gt;=Cutoffs!$C$5,3,IF(F80&gt;=Cutoffs!$B$5,2,1)))</f>
        <v>3</v>
      </c>
      <c r="P80" s="10">
        <f>IF(H80&gt;=Cutoffs!$D$6,4,IF(H80&gt;=Cutoffs!$C$6,3,IF(H80&gt;=Cutoffs!$B$6,2,1)))</f>
        <v>2</v>
      </c>
      <c r="Q80" s="10">
        <f t="shared" si="2"/>
        <v>6</v>
      </c>
      <c r="R80" s="10" t="str">
        <f t="shared" si="3"/>
        <v>At risk</v>
      </c>
    </row>
    <row r="81" spans="1:18" x14ac:dyDescent="0.55000000000000004">
      <c r="A81" s="10" t="s">
        <v>121</v>
      </c>
      <c r="B81" s="10" t="s">
        <v>43</v>
      </c>
      <c r="C81" s="10" t="s">
        <v>31</v>
      </c>
      <c r="D81" s="10" t="s">
        <v>36</v>
      </c>
      <c r="E81" s="10">
        <v>0</v>
      </c>
      <c r="F81" s="10">
        <v>189</v>
      </c>
      <c r="G81" s="10">
        <v>3</v>
      </c>
      <c r="H81" s="10">
        <v>45</v>
      </c>
      <c r="I81" s="11">
        <v>4.5</v>
      </c>
      <c r="J81" s="12">
        <v>0.52400000000000002</v>
      </c>
      <c r="K81" s="11">
        <v>3.18</v>
      </c>
      <c r="L81" s="10">
        <v>189</v>
      </c>
      <c r="M81" s="10">
        <v>224</v>
      </c>
      <c r="N81" s="10">
        <f>IF(G81&lt;=Cutoffs!$B$4,4,IF(G81&lt;=Cutoffs!$C$4,3,IF(G81&lt;=Cutoffs!$D$4,2,1)))</f>
        <v>3</v>
      </c>
      <c r="O81" s="10">
        <f>IF(F81&gt;=Cutoffs!$D$5,4,IF(F81&gt;=Cutoffs!$C$5,3,IF(F81&gt;=Cutoffs!$B$5,2,1)))</f>
        <v>4</v>
      </c>
      <c r="P81" s="10">
        <f>IF(H81&gt;=Cutoffs!$D$6,4,IF(H81&gt;=Cutoffs!$C$6,3,IF(H81&gt;=Cutoffs!$B$6,2,1)))</f>
        <v>4</v>
      </c>
      <c r="Q81" s="10">
        <f t="shared" si="2"/>
        <v>11</v>
      </c>
      <c r="R81" s="10" t="str">
        <f t="shared" si="3"/>
        <v>Champions</v>
      </c>
    </row>
    <row r="82" spans="1:18" x14ac:dyDescent="0.55000000000000004">
      <c r="A82" s="10" t="s">
        <v>122</v>
      </c>
      <c r="B82" s="10" t="s">
        <v>47</v>
      </c>
      <c r="C82" s="10" t="s">
        <v>35</v>
      </c>
      <c r="D82" s="10" t="s">
        <v>44</v>
      </c>
      <c r="E82" s="10">
        <v>0</v>
      </c>
      <c r="F82" s="10">
        <v>125</v>
      </c>
      <c r="G82" s="10">
        <v>1</v>
      </c>
      <c r="H82" s="10">
        <v>26</v>
      </c>
      <c r="I82" s="11">
        <v>3.68</v>
      </c>
      <c r="J82" s="12">
        <v>0.48799999999999999</v>
      </c>
      <c r="K82" s="11">
        <v>3.55</v>
      </c>
      <c r="L82" s="10">
        <v>69</v>
      </c>
      <c r="M82" s="10">
        <v>585</v>
      </c>
      <c r="N82" s="10">
        <f>IF(G82&lt;=Cutoffs!$B$4,4,IF(G82&lt;=Cutoffs!$C$4,3,IF(G82&lt;=Cutoffs!$D$4,2,1)))</f>
        <v>4</v>
      </c>
      <c r="O82" s="10">
        <f>IF(F82&gt;=Cutoffs!$D$5,4,IF(F82&gt;=Cutoffs!$C$5,3,IF(F82&gt;=Cutoffs!$B$5,2,1)))</f>
        <v>3</v>
      </c>
      <c r="P82" s="10">
        <f>IF(H82&gt;=Cutoffs!$D$6,4,IF(H82&gt;=Cutoffs!$C$6,3,IF(H82&gt;=Cutoffs!$B$6,2,1)))</f>
        <v>3</v>
      </c>
      <c r="Q82" s="10">
        <f t="shared" si="2"/>
        <v>10</v>
      </c>
      <c r="R82" s="10" t="str">
        <f t="shared" si="3"/>
        <v>Champions</v>
      </c>
    </row>
    <row r="83" spans="1:18" x14ac:dyDescent="0.55000000000000004">
      <c r="A83" s="10" t="s">
        <v>123</v>
      </c>
      <c r="B83" s="10" t="s">
        <v>34</v>
      </c>
      <c r="C83" s="10" t="s">
        <v>35</v>
      </c>
      <c r="D83" s="10" t="s">
        <v>32</v>
      </c>
      <c r="E83" s="10">
        <v>0</v>
      </c>
      <c r="F83" s="10">
        <v>203</v>
      </c>
      <c r="G83" s="10">
        <v>2</v>
      </c>
      <c r="H83" s="10">
        <v>62</v>
      </c>
      <c r="I83" s="11">
        <v>2.94</v>
      </c>
      <c r="J83" s="12">
        <v>0.48299999999999998</v>
      </c>
      <c r="K83" s="11">
        <v>4.82</v>
      </c>
      <c r="L83" s="10">
        <v>-15</v>
      </c>
      <c r="M83" s="10">
        <v>700</v>
      </c>
      <c r="N83" s="10">
        <f>IF(G83&lt;=Cutoffs!$B$4,4,IF(G83&lt;=Cutoffs!$C$4,3,IF(G83&lt;=Cutoffs!$D$4,2,1)))</f>
        <v>3</v>
      </c>
      <c r="O83" s="10">
        <f>IF(F83&gt;=Cutoffs!$D$5,4,IF(F83&gt;=Cutoffs!$C$5,3,IF(F83&gt;=Cutoffs!$B$5,2,1)))</f>
        <v>4</v>
      </c>
      <c r="P83" s="10">
        <f>IF(H83&gt;=Cutoffs!$D$6,4,IF(H83&gt;=Cutoffs!$C$6,3,IF(H83&gt;=Cutoffs!$B$6,2,1)))</f>
        <v>4</v>
      </c>
      <c r="Q83" s="10">
        <f t="shared" si="2"/>
        <v>11</v>
      </c>
      <c r="R83" s="10" t="str">
        <f t="shared" si="3"/>
        <v>Champions</v>
      </c>
    </row>
    <row r="84" spans="1:18" x14ac:dyDescent="0.55000000000000004">
      <c r="A84" s="10" t="s">
        <v>124</v>
      </c>
      <c r="B84" s="10" t="s">
        <v>30</v>
      </c>
      <c r="C84" s="10" t="s">
        <v>31</v>
      </c>
      <c r="D84" s="10" t="s">
        <v>44</v>
      </c>
      <c r="E84" s="10">
        <v>0</v>
      </c>
      <c r="F84" s="10">
        <v>61</v>
      </c>
      <c r="G84" s="10">
        <v>19</v>
      </c>
      <c r="H84" s="10">
        <v>16</v>
      </c>
      <c r="I84" s="11">
        <v>3.81</v>
      </c>
      <c r="J84" s="12">
        <v>0.42599999999999999</v>
      </c>
      <c r="K84" s="11">
        <v>2.2200000000000002</v>
      </c>
      <c r="L84" s="10">
        <v>33</v>
      </c>
      <c r="M84" s="10">
        <v>145</v>
      </c>
      <c r="N84" s="10">
        <f>IF(G84&lt;=Cutoffs!$B$4,4,IF(G84&lt;=Cutoffs!$C$4,3,IF(G84&lt;=Cutoffs!$D$4,2,1)))</f>
        <v>2</v>
      </c>
      <c r="O84" s="10">
        <f>IF(F84&gt;=Cutoffs!$D$5,4,IF(F84&gt;=Cutoffs!$C$5,3,IF(F84&gt;=Cutoffs!$B$5,2,1)))</f>
        <v>2</v>
      </c>
      <c r="P84" s="10">
        <f>IF(H84&gt;=Cutoffs!$D$6,4,IF(H84&gt;=Cutoffs!$C$6,3,IF(H84&gt;=Cutoffs!$B$6,2,1)))</f>
        <v>2</v>
      </c>
      <c r="Q84" s="10">
        <f t="shared" si="2"/>
        <v>6</v>
      </c>
      <c r="R84" s="10" t="str">
        <f t="shared" si="3"/>
        <v>Cooling</v>
      </c>
    </row>
    <row r="85" spans="1:18" x14ac:dyDescent="0.55000000000000004">
      <c r="A85" s="10" t="s">
        <v>125</v>
      </c>
      <c r="B85" s="10" t="s">
        <v>38</v>
      </c>
      <c r="C85" s="10" t="s">
        <v>35</v>
      </c>
      <c r="D85" s="10" t="s">
        <v>44</v>
      </c>
      <c r="E85" s="10">
        <v>1</v>
      </c>
      <c r="F85" s="10">
        <v>196</v>
      </c>
      <c r="G85" s="10">
        <v>24</v>
      </c>
      <c r="H85" s="10">
        <v>15</v>
      </c>
      <c r="I85" s="11">
        <v>6.53</v>
      </c>
      <c r="J85" s="12">
        <v>0.5</v>
      </c>
      <c r="K85" s="11">
        <v>2.2599999999999998</v>
      </c>
      <c r="L85" s="10">
        <v>-74</v>
      </c>
      <c r="M85" s="10">
        <v>592</v>
      </c>
      <c r="N85" s="10">
        <f>IF(G85&lt;=Cutoffs!$B$4,4,IF(G85&lt;=Cutoffs!$C$4,3,IF(G85&lt;=Cutoffs!$D$4,2,1)))</f>
        <v>1</v>
      </c>
      <c r="O85" s="10">
        <f>IF(F85&gt;=Cutoffs!$D$5,4,IF(F85&gt;=Cutoffs!$C$5,3,IF(F85&gt;=Cutoffs!$B$5,2,1)))</f>
        <v>4</v>
      </c>
      <c r="P85" s="10">
        <f>IF(H85&gt;=Cutoffs!$D$6,4,IF(H85&gt;=Cutoffs!$C$6,3,IF(H85&gt;=Cutoffs!$B$6,2,1)))</f>
        <v>2</v>
      </c>
      <c r="Q85" s="10">
        <f t="shared" si="2"/>
        <v>7</v>
      </c>
      <c r="R85" s="10" t="str">
        <f t="shared" si="3"/>
        <v>At risk</v>
      </c>
    </row>
    <row r="86" spans="1:18" x14ac:dyDescent="0.55000000000000004">
      <c r="A86" s="10" t="s">
        <v>126</v>
      </c>
      <c r="B86" s="10" t="s">
        <v>34</v>
      </c>
      <c r="C86" s="10" t="s">
        <v>35</v>
      </c>
      <c r="D86" s="10" t="s">
        <v>44</v>
      </c>
      <c r="E86" s="10">
        <v>0</v>
      </c>
      <c r="F86" s="10">
        <v>32</v>
      </c>
      <c r="G86" s="10">
        <v>18</v>
      </c>
      <c r="H86" s="10">
        <v>13</v>
      </c>
      <c r="I86" s="11">
        <v>3.56</v>
      </c>
      <c r="J86" s="12">
        <v>0.40600000000000003</v>
      </c>
      <c r="K86" s="11">
        <v>2.82</v>
      </c>
      <c r="L86" s="10">
        <v>32</v>
      </c>
      <c r="M86" s="10">
        <v>547</v>
      </c>
      <c r="N86" s="10">
        <f>IF(G86&lt;=Cutoffs!$B$4,4,IF(G86&lt;=Cutoffs!$C$4,3,IF(G86&lt;=Cutoffs!$D$4,2,1)))</f>
        <v>2</v>
      </c>
      <c r="O86" s="10">
        <f>IF(F86&gt;=Cutoffs!$D$5,4,IF(F86&gt;=Cutoffs!$C$5,3,IF(F86&gt;=Cutoffs!$B$5,2,1)))</f>
        <v>1</v>
      </c>
      <c r="P86" s="10">
        <f>IF(H86&gt;=Cutoffs!$D$6,4,IF(H86&gt;=Cutoffs!$C$6,3,IF(H86&gt;=Cutoffs!$B$6,2,1)))</f>
        <v>2</v>
      </c>
      <c r="Q86" s="10">
        <f t="shared" si="2"/>
        <v>5</v>
      </c>
      <c r="R86" s="10" t="str">
        <f t="shared" si="3"/>
        <v>Cooling</v>
      </c>
    </row>
    <row r="87" spans="1:18" x14ac:dyDescent="0.55000000000000004">
      <c r="A87" s="10" t="s">
        <v>127</v>
      </c>
      <c r="B87" s="10" t="s">
        <v>38</v>
      </c>
      <c r="C87" s="10" t="s">
        <v>35</v>
      </c>
      <c r="D87" s="10" t="s">
        <v>44</v>
      </c>
      <c r="E87" s="10">
        <v>0</v>
      </c>
      <c r="F87" s="10">
        <v>50</v>
      </c>
      <c r="G87" s="10">
        <v>0</v>
      </c>
      <c r="H87" s="10">
        <v>29</v>
      </c>
      <c r="I87" s="11">
        <v>2.17</v>
      </c>
      <c r="J87" s="12">
        <v>0.44</v>
      </c>
      <c r="K87" s="11">
        <v>2.81</v>
      </c>
      <c r="L87" s="10">
        <v>16</v>
      </c>
      <c r="M87" s="10">
        <v>818</v>
      </c>
      <c r="N87" s="10">
        <f>IF(G87&lt;=Cutoffs!$B$4,4,IF(G87&lt;=Cutoffs!$C$4,3,IF(G87&lt;=Cutoffs!$D$4,2,1)))</f>
        <v>4</v>
      </c>
      <c r="O87" s="10">
        <f>IF(F87&gt;=Cutoffs!$D$5,4,IF(F87&gt;=Cutoffs!$C$5,3,IF(F87&gt;=Cutoffs!$B$5,2,1)))</f>
        <v>1</v>
      </c>
      <c r="P87" s="10">
        <f>IF(H87&gt;=Cutoffs!$D$6,4,IF(H87&gt;=Cutoffs!$C$6,3,IF(H87&gt;=Cutoffs!$B$6,2,1)))</f>
        <v>3</v>
      </c>
      <c r="Q87" s="10">
        <f t="shared" si="2"/>
        <v>8</v>
      </c>
      <c r="R87" s="10" t="str">
        <f t="shared" si="3"/>
        <v>Promising</v>
      </c>
    </row>
    <row r="88" spans="1:18" x14ac:dyDescent="0.55000000000000004">
      <c r="A88" s="10" t="s">
        <v>128</v>
      </c>
      <c r="B88" s="10" t="s">
        <v>30</v>
      </c>
      <c r="C88" s="10" t="s">
        <v>31</v>
      </c>
      <c r="D88" s="10" t="s">
        <v>36</v>
      </c>
      <c r="E88" s="10">
        <v>0</v>
      </c>
      <c r="F88" s="10">
        <v>44</v>
      </c>
      <c r="G88" s="10">
        <v>6</v>
      </c>
      <c r="H88" s="10">
        <v>4</v>
      </c>
      <c r="I88" s="11">
        <v>2.3199999999999998</v>
      </c>
      <c r="J88" s="12">
        <v>0.45500000000000002</v>
      </c>
      <c r="K88" s="11">
        <v>1.98</v>
      </c>
      <c r="L88" s="10">
        <v>34</v>
      </c>
      <c r="M88" s="10">
        <v>332</v>
      </c>
      <c r="N88" s="10">
        <f>IF(G88&lt;=Cutoffs!$B$4,4,IF(G88&lt;=Cutoffs!$C$4,3,IF(G88&lt;=Cutoffs!$D$4,2,1)))</f>
        <v>3</v>
      </c>
      <c r="O88" s="10">
        <f>IF(F88&gt;=Cutoffs!$D$5,4,IF(F88&gt;=Cutoffs!$C$5,3,IF(F88&gt;=Cutoffs!$B$5,2,1)))</f>
        <v>1</v>
      </c>
      <c r="P88" s="10">
        <f>IF(H88&gt;=Cutoffs!$D$6,4,IF(H88&gt;=Cutoffs!$C$6,3,IF(H88&gt;=Cutoffs!$B$6,2,1)))</f>
        <v>1</v>
      </c>
      <c r="Q88" s="10">
        <f t="shared" si="2"/>
        <v>5</v>
      </c>
      <c r="R88" s="10" t="str">
        <f t="shared" si="3"/>
        <v>Promising</v>
      </c>
    </row>
    <row r="89" spans="1:18" x14ac:dyDescent="0.55000000000000004">
      <c r="A89" s="10" t="s">
        <v>129</v>
      </c>
      <c r="B89" s="10" t="s">
        <v>38</v>
      </c>
      <c r="C89" s="10" t="s">
        <v>35</v>
      </c>
      <c r="D89" s="10" t="s">
        <v>41</v>
      </c>
      <c r="E89" s="10">
        <v>0</v>
      </c>
      <c r="F89" s="10">
        <v>207</v>
      </c>
      <c r="G89" s="10">
        <v>1</v>
      </c>
      <c r="H89" s="10">
        <v>38</v>
      </c>
      <c r="I89" s="11">
        <v>5.17</v>
      </c>
      <c r="J89" s="12">
        <v>0.498</v>
      </c>
      <c r="K89" s="11">
        <v>3.14</v>
      </c>
      <c r="L89" s="10">
        <v>207</v>
      </c>
      <c r="M89" s="10">
        <v>294</v>
      </c>
      <c r="N89" s="10">
        <f>IF(G89&lt;=Cutoffs!$B$4,4,IF(G89&lt;=Cutoffs!$C$4,3,IF(G89&lt;=Cutoffs!$D$4,2,1)))</f>
        <v>4</v>
      </c>
      <c r="O89" s="10">
        <f>IF(F89&gt;=Cutoffs!$D$5,4,IF(F89&gt;=Cutoffs!$C$5,3,IF(F89&gt;=Cutoffs!$B$5,2,1)))</f>
        <v>4</v>
      </c>
      <c r="P89" s="10">
        <f>IF(H89&gt;=Cutoffs!$D$6,4,IF(H89&gt;=Cutoffs!$C$6,3,IF(H89&gt;=Cutoffs!$B$6,2,1)))</f>
        <v>4</v>
      </c>
      <c r="Q89" s="10">
        <f t="shared" si="2"/>
        <v>12</v>
      </c>
      <c r="R89" s="10" t="str">
        <f t="shared" si="3"/>
        <v>Champions</v>
      </c>
    </row>
    <row r="90" spans="1:18" x14ac:dyDescent="0.55000000000000004">
      <c r="A90" s="10" t="s">
        <v>130</v>
      </c>
      <c r="B90" s="10" t="s">
        <v>30</v>
      </c>
      <c r="C90" s="10" t="s">
        <v>31</v>
      </c>
      <c r="D90" s="10" t="s">
        <v>44</v>
      </c>
      <c r="E90" s="10">
        <v>0</v>
      </c>
      <c r="F90" s="10">
        <v>183</v>
      </c>
      <c r="G90" s="10">
        <v>17</v>
      </c>
      <c r="H90" s="10">
        <v>66</v>
      </c>
      <c r="I90" s="11">
        <v>3.52</v>
      </c>
      <c r="J90" s="12">
        <v>0.48099999999999998</v>
      </c>
      <c r="K90" s="11">
        <v>3.31</v>
      </c>
      <c r="L90" s="10">
        <v>-9</v>
      </c>
      <c r="M90" s="10">
        <v>669</v>
      </c>
      <c r="N90" s="10">
        <f>IF(G90&lt;=Cutoffs!$B$4,4,IF(G90&lt;=Cutoffs!$C$4,3,IF(G90&lt;=Cutoffs!$D$4,2,1)))</f>
        <v>2</v>
      </c>
      <c r="O90" s="10">
        <f>IF(F90&gt;=Cutoffs!$D$5,4,IF(F90&gt;=Cutoffs!$C$5,3,IF(F90&gt;=Cutoffs!$B$5,2,1)))</f>
        <v>4</v>
      </c>
      <c r="P90" s="10">
        <f>IF(H90&gt;=Cutoffs!$D$6,4,IF(H90&gt;=Cutoffs!$C$6,3,IF(H90&gt;=Cutoffs!$B$6,2,1)))</f>
        <v>4</v>
      </c>
      <c r="Q90" s="10">
        <f t="shared" si="2"/>
        <v>10</v>
      </c>
      <c r="R90" s="10" t="str">
        <f t="shared" si="3"/>
        <v>At risk</v>
      </c>
    </row>
    <row r="91" spans="1:18" x14ac:dyDescent="0.55000000000000004">
      <c r="A91" s="10" t="s">
        <v>131</v>
      </c>
      <c r="B91" s="10" t="s">
        <v>30</v>
      </c>
      <c r="C91" s="10" t="s">
        <v>31</v>
      </c>
      <c r="D91" s="10" t="s">
        <v>32</v>
      </c>
      <c r="E91" s="10">
        <v>0</v>
      </c>
      <c r="F91" s="10">
        <v>62</v>
      </c>
      <c r="G91" s="10">
        <v>10</v>
      </c>
      <c r="H91" s="10">
        <v>33</v>
      </c>
      <c r="I91" s="11">
        <v>3.1</v>
      </c>
      <c r="J91" s="12">
        <v>0.45200000000000001</v>
      </c>
      <c r="K91" s="11">
        <v>2.73</v>
      </c>
      <c r="L91" s="10">
        <v>-52</v>
      </c>
      <c r="M91" s="10">
        <v>710</v>
      </c>
      <c r="N91" s="10">
        <f>IF(G91&lt;=Cutoffs!$B$4,4,IF(G91&lt;=Cutoffs!$C$4,3,IF(G91&lt;=Cutoffs!$D$4,2,1)))</f>
        <v>2</v>
      </c>
      <c r="O91" s="10">
        <f>IF(F91&gt;=Cutoffs!$D$5,4,IF(F91&gt;=Cutoffs!$C$5,3,IF(F91&gt;=Cutoffs!$B$5,2,1)))</f>
        <v>2</v>
      </c>
      <c r="P91" s="10">
        <f>IF(H91&gt;=Cutoffs!$D$6,4,IF(H91&gt;=Cutoffs!$C$6,3,IF(H91&gt;=Cutoffs!$B$6,2,1)))</f>
        <v>4</v>
      </c>
      <c r="Q91" s="10">
        <f t="shared" si="2"/>
        <v>8</v>
      </c>
      <c r="R91" s="10" t="str">
        <f t="shared" si="3"/>
        <v>Cooling</v>
      </c>
    </row>
    <row r="92" spans="1:18" x14ac:dyDescent="0.55000000000000004">
      <c r="A92" s="10" t="s">
        <v>132</v>
      </c>
      <c r="B92" s="10" t="s">
        <v>43</v>
      </c>
      <c r="C92" s="10" t="s">
        <v>31</v>
      </c>
      <c r="D92" s="10" t="s">
        <v>36</v>
      </c>
      <c r="E92" s="10">
        <v>1</v>
      </c>
      <c r="F92" s="10">
        <v>32</v>
      </c>
      <c r="G92" s="10">
        <v>1</v>
      </c>
      <c r="H92" s="10">
        <v>6</v>
      </c>
      <c r="I92" s="11">
        <v>2.46</v>
      </c>
      <c r="J92" s="12">
        <v>0.46899999999999997</v>
      </c>
      <c r="K92" s="11">
        <v>3.79</v>
      </c>
      <c r="L92" s="10">
        <v>32</v>
      </c>
      <c r="M92" s="10">
        <v>71</v>
      </c>
      <c r="N92" s="10">
        <f>IF(G92&lt;=Cutoffs!$B$4,4,IF(G92&lt;=Cutoffs!$C$4,3,IF(G92&lt;=Cutoffs!$D$4,2,1)))</f>
        <v>4</v>
      </c>
      <c r="O92" s="10">
        <f>IF(F92&gt;=Cutoffs!$D$5,4,IF(F92&gt;=Cutoffs!$C$5,3,IF(F92&gt;=Cutoffs!$B$5,2,1)))</f>
        <v>1</v>
      </c>
      <c r="P92" s="10">
        <f>IF(H92&gt;=Cutoffs!$D$6,4,IF(H92&gt;=Cutoffs!$C$6,3,IF(H92&gt;=Cutoffs!$B$6,2,1)))</f>
        <v>1</v>
      </c>
      <c r="Q92" s="10">
        <f t="shared" si="2"/>
        <v>6</v>
      </c>
      <c r="R92" s="10" t="str">
        <f t="shared" si="3"/>
        <v>Promising</v>
      </c>
    </row>
    <row r="93" spans="1:18" x14ac:dyDescent="0.55000000000000004">
      <c r="A93" s="10" t="s">
        <v>133</v>
      </c>
      <c r="B93" s="10" t="s">
        <v>34</v>
      </c>
      <c r="C93" s="10" t="s">
        <v>35</v>
      </c>
      <c r="D93" s="10" t="s">
        <v>36</v>
      </c>
      <c r="E93" s="10">
        <v>0</v>
      </c>
      <c r="F93" s="10">
        <v>198</v>
      </c>
      <c r="G93" s="10">
        <v>2</v>
      </c>
      <c r="H93" s="10">
        <v>12</v>
      </c>
      <c r="I93" s="11">
        <v>4.95</v>
      </c>
      <c r="J93" s="12">
        <v>0.495</v>
      </c>
      <c r="K93" s="11">
        <v>2.5099999999999998</v>
      </c>
      <c r="L93" s="10">
        <v>46</v>
      </c>
      <c r="M93" s="10">
        <v>410</v>
      </c>
      <c r="N93" s="10">
        <f>IF(G93&lt;=Cutoffs!$B$4,4,IF(G93&lt;=Cutoffs!$C$4,3,IF(G93&lt;=Cutoffs!$D$4,2,1)))</f>
        <v>3</v>
      </c>
      <c r="O93" s="10">
        <f>IF(F93&gt;=Cutoffs!$D$5,4,IF(F93&gt;=Cutoffs!$C$5,3,IF(F93&gt;=Cutoffs!$B$5,2,1)))</f>
        <v>4</v>
      </c>
      <c r="P93" s="10">
        <f>IF(H93&gt;=Cutoffs!$D$6,4,IF(H93&gt;=Cutoffs!$C$6,3,IF(H93&gt;=Cutoffs!$B$6,2,1)))</f>
        <v>2</v>
      </c>
      <c r="Q93" s="10">
        <f t="shared" si="2"/>
        <v>9</v>
      </c>
      <c r="R93" s="10" t="str">
        <f t="shared" si="3"/>
        <v>Champions</v>
      </c>
    </row>
    <row r="94" spans="1:18" x14ac:dyDescent="0.55000000000000004">
      <c r="A94" s="10" t="s">
        <v>134</v>
      </c>
      <c r="B94" s="10" t="s">
        <v>34</v>
      </c>
      <c r="C94" s="10" t="s">
        <v>35</v>
      </c>
      <c r="D94" s="10" t="s">
        <v>41</v>
      </c>
      <c r="E94" s="10">
        <v>0</v>
      </c>
      <c r="F94" s="10">
        <v>29</v>
      </c>
      <c r="G94" s="10">
        <v>1</v>
      </c>
      <c r="H94" s="10">
        <v>1</v>
      </c>
      <c r="I94" s="11">
        <v>2.0699999999999998</v>
      </c>
      <c r="J94" s="12">
        <v>0.51700000000000002</v>
      </c>
      <c r="K94" s="11">
        <v>5.44</v>
      </c>
      <c r="L94" s="10">
        <v>7</v>
      </c>
      <c r="M94" s="10">
        <v>531</v>
      </c>
      <c r="N94" s="10">
        <f>IF(G94&lt;=Cutoffs!$B$4,4,IF(G94&lt;=Cutoffs!$C$4,3,IF(G94&lt;=Cutoffs!$D$4,2,1)))</f>
        <v>4</v>
      </c>
      <c r="O94" s="10">
        <f>IF(F94&gt;=Cutoffs!$D$5,4,IF(F94&gt;=Cutoffs!$C$5,3,IF(F94&gt;=Cutoffs!$B$5,2,1)))</f>
        <v>1</v>
      </c>
      <c r="P94" s="10">
        <f>IF(H94&gt;=Cutoffs!$D$6,4,IF(H94&gt;=Cutoffs!$C$6,3,IF(H94&gt;=Cutoffs!$B$6,2,1)))</f>
        <v>1</v>
      </c>
      <c r="Q94" s="10">
        <f t="shared" si="2"/>
        <v>6</v>
      </c>
      <c r="R94" s="10" t="str">
        <f t="shared" si="3"/>
        <v>Promising</v>
      </c>
    </row>
    <row r="95" spans="1:18" x14ac:dyDescent="0.55000000000000004">
      <c r="A95" s="10" t="s">
        <v>135</v>
      </c>
      <c r="B95" s="10" t="s">
        <v>34</v>
      </c>
      <c r="C95" s="10" t="s">
        <v>35</v>
      </c>
      <c r="D95" s="10" t="s">
        <v>36</v>
      </c>
      <c r="E95" s="10">
        <v>0</v>
      </c>
      <c r="F95" s="10">
        <v>70</v>
      </c>
      <c r="G95" s="10">
        <v>11</v>
      </c>
      <c r="H95" s="10">
        <v>51</v>
      </c>
      <c r="I95" s="11">
        <v>3.33</v>
      </c>
      <c r="J95" s="12">
        <v>0.52900000000000003</v>
      </c>
      <c r="K95" s="11">
        <v>3.06</v>
      </c>
      <c r="L95" s="10">
        <v>48</v>
      </c>
      <c r="M95" s="10">
        <v>263</v>
      </c>
      <c r="N95" s="10">
        <f>IF(G95&lt;=Cutoffs!$B$4,4,IF(G95&lt;=Cutoffs!$C$4,3,IF(G95&lt;=Cutoffs!$D$4,2,1)))</f>
        <v>2</v>
      </c>
      <c r="O95" s="10">
        <f>IF(F95&gt;=Cutoffs!$D$5,4,IF(F95&gt;=Cutoffs!$C$5,3,IF(F95&gt;=Cutoffs!$B$5,2,1)))</f>
        <v>2</v>
      </c>
      <c r="P95" s="10">
        <f>IF(H95&gt;=Cutoffs!$D$6,4,IF(H95&gt;=Cutoffs!$C$6,3,IF(H95&gt;=Cutoffs!$B$6,2,1)))</f>
        <v>4</v>
      </c>
      <c r="Q95" s="10">
        <f t="shared" si="2"/>
        <v>8</v>
      </c>
      <c r="R95" s="10" t="str">
        <f t="shared" si="3"/>
        <v>Cooling</v>
      </c>
    </row>
    <row r="96" spans="1:18" x14ac:dyDescent="0.55000000000000004">
      <c r="A96" s="10" t="s">
        <v>136</v>
      </c>
      <c r="B96" s="10" t="s">
        <v>34</v>
      </c>
      <c r="C96" s="10" t="s">
        <v>35</v>
      </c>
      <c r="D96" s="10" t="s">
        <v>36</v>
      </c>
      <c r="E96" s="10">
        <v>0</v>
      </c>
      <c r="F96" s="10">
        <v>105</v>
      </c>
      <c r="G96" s="10">
        <v>3</v>
      </c>
      <c r="H96" s="10">
        <v>15</v>
      </c>
      <c r="I96" s="11">
        <v>3.75</v>
      </c>
      <c r="J96" s="12">
        <v>0.41899999999999998</v>
      </c>
      <c r="K96" s="11">
        <v>3.16</v>
      </c>
      <c r="L96" s="10">
        <v>87</v>
      </c>
      <c r="M96" s="10">
        <v>782</v>
      </c>
      <c r="N96" s="10">
        <f>IF(G96&lt;=Cutoffs!$B$4,4,IF(G96&lt;=Cutoffs!$C$4,3,IF(G96&lt;=Cutoffs!$D$4,2,1)))</f>
        <v>3</v>
      </c>
      <c r="O96" s="10">
        <f>IF(F96&gt;=Cutoffs!$D$5,4,IF(F96&gt;=Cutoffs!$C$5,3,IF(F96&gt;=Cutoffs!$B$5,2,1)))</f>
        <v>3</v>
      </c>
      <c r="P96" s="10">
        <f>IF(H96&gt;=Cutoffs!$D$6,4,IF(H96&gt;=Cutoffs!$C$6,3,IF(H96&gt;=Cutoffs!$B$6,2,1)))</f>
        <v>2</v>
      </c>
      <c r="Q96" s="10">
        <f t="shared" si="2"/>
        <v>8</v>
      </c>
      <c r="R96" s="10" t="str">
        <f t="shared" si="3"/>
        <v>Champions</v>
      </c>
    </row>
    <row r="97" spans="1:18" x14ac:dyDescent="0.55000000000000004">
      <c r="A97" s="10" t="s">
        <v>137</v>
      </c>
      <c r="B97" s="10" t="s">
        <v>38</v>
      </c>
      <c r="C97" s="10" t="s">
        <v>35</v>
      </c>
      <c r="D97" s="10" t="s">
        <v>44</v>
      </c>
      <c r="E97" s="10">
        <v>0</v>
      </c>
      <c r="F97" s="10">
        <v>202</v>
      </c>
      <c r="G97" s="10">
        <v>0</v>
      </c>
      <c r="H97" s="10">
        <v>31</v>
      </c>
      <c r="I97" s="11">
        <v>3.31</v>
      </c>
      <c r="J97" s="12">
        <v>0.49</v>
      </c>
      <c r="K97" s="11">
        <v>2.02</v>
      </c>
      <c r="L97" s="10">
        <v>96</v>
      </c>
      <c r="M97" s="10">
        <v>567</v>
      </c>
      <c r="N97" s="10">
        <f>IF(G97&lt;=Cutoffs!$B$4,4,IF(G97&lt;=Cutoffs!$C$4,3,IF(G97&lt;=Cutoffs!$D$4,2,1)))</f>
        <v>4</v>
      </c>
      <c r="O97" s="10">
        <f>IF(F97&gt;=Cutoffs!$D$5,4,IF(F97&gt;=Cutoffs!$C$5,3,IF(F97&gt;=Cutoffs!$B$5,2,1)))</f>
        <v>4</v>
      </c>
      <c r="P97" s="10">
        <f>IF(H97&gt;=Cutoffs!$D$6,4,IF(H97&gt;=Cutoffs!$C$6,3,IF(H97&gt;=Cutoffs!$B$6,2,1)))</f>
        <v>4</v>
      </c>
      <c r="Q97" s="10">
        <f t="shared" si="2"/>
        <v>12</v>
      </c>
      <c r="R97" s="10" t="str">
        <f t="shared" si="3"/>
        <v>Champions</v>
      </c>
    </row>
    <row r="98" spans="1:18" x14ac:dyDescent="0.55000000000000004">
      <c r="A98" s="10" t="s">
        <v>138</v>
      </c>
      <c r="B98" s="10" t="s">
        <v>58</v>
      </c>
      <c r="C98" s="10" t="s">
        <v>31</v>
      </c>
      <c r="D98" s="10" t="s">
        <v>36</v>
      </c>
      <c r="E98" s="10">
        <v>0</v>
      </c>
      <c r="F98" s="10">
        <v>93</v>
      </c>
      <c r="G98" s="10">
        <v>28</v>
      </c>
      <c r="H98" s="10">
        <v>15</v>
      </c>
      <c r="I98" s="11">
        <v>3.72</v>
      </c>
      <c r="J98" s="12">
        <v>0.39800000000000002</v>
      </c>
      <c r="K98" s="11">
        <v>1.58</v>
      </c>
      <c r="L98" s="10">
        <v>-37</v>
      </c>
      <c r="M98" s="10">
        <v>125</v>
      </c>
      <c r="N98" s="10">
        <f>IF(G98&lt;=Cutoffs!$B$4,4,IF(G98&lt;=Cutoffs!$C$4,3,IF(G98&lt;=Cutoffs!$D$4,2,1)))</f>
        <v>1</v>
      </c>
      <c r="O98" s="10">
        <f>IF(F98&gt;=Cutoffs!$D$5,4,IF(F98&gt;=Cutoffs!$C$5,3,IF(F98&gt;=Cutoffs!$B$5,2,1)))</f>
        <v>2</v>
      </c>
      <c r="P98" s="10">
        <f>IF(H98&gt;=Cutoffs!$D$6,4,IF(H98&gt;=Cutoffs!$C$6,3,IF(H98&gt;=Cutoffs!$B$6,2,1)))</f>
        <v>2</v>
      </c>
      <c r="Q98" s="10">
        <f t="shared" si="2"/>
        <v>5</v>
      </c>
      <c r="R98" s="10" t="str">
        <f t="shared" si="3"/>
        <v>Dormant</v>
      </c>
    </row>
    <row r="99" spans="1:18" x14ac:dyDescent="0.55000000000000004">
      <c r="A99" s="10" t="s">
        <v>139</v>
      </c>
      <c r="B99" s="10" t="s">
        <v>38</v>
      </c>
      <c r="C99" s="10" t="s">
        <v>35</v>
      </c>
      <c r="D99" s="10" t="s">
        <v>36</v>
      </c>
      <c r="E99" s="10">
        <v>0</v>
      </c>
      <c r="F99" s="10">
        <v>102</v>
      </c>
      <c r="G99" s="10">
        <v>22</v>
      </c>
      <c r="H99" s="10">
        <v>26</v>
      </c>
      <c r="I99" s="11">
        <v>3.4</v>
      </c>
      <c r="J99" s="12">
        <v>0.48</v>
      </c>
      <c r="K99" s="11">
        <v>2.42</v>
      </c>
      <c r="L99" s="10">
        <v>-36</v>
      </c>
      <c r="M99" s="10">
        <v>341</v>
      </c>
      <c r="N99" s="10">
        <f>IF(G99&lt;=Cutoffs!$B$4,4,IF(G99&lt;=Cutoffs!$C$4,3,IF(G99&lt;=Cutoffs!$D$4,2,1)))</f>
        <v>1</v>
      </c>
      <c r="O99" s="10">
        <f>IF(F99&gt;=Cutoffs!$D$5,4,IF(F99&gt;=Cutoffs!$C$5,3,IF(F99&gt;=Cutoffs!$B$5,2,1)))</f>
        <v>3</v>
      </c>
      <c r="P99" s="10">
        <f>IF(H99&gt;=Cutoffs!$D$6,4,IF(H99&gt;=Cutoffs!$C$6,3,IF(H99&gt;=Cutoffs!$B$6,2,1)))</f>
        <v>3</v>
      </c>
      <c r="Q99" s="10">
        <f t="shared" si="2"/>
        <v>7</v>
      </c>
      <c r="R99" s="10" t="str">
        <f t="shared" si="3"/>
        <v>At risk</v>
      </c>
    </row>
    <row r="100" spans="1:18" x14ac:dyDescent="0.55000000000000004">
      <c r="A100" s="10" t="s">
        <v>140</v>
      </c>
      <c r="B100" s="10" t="s">
        <v>30</v>
      </c>
      <c r="C100" s="10" t="s">
        <v>31</v>
      </c>
      <c r="D100" s="10" t="s">
        <v>44</v>
      </c>
      <c r="E100" s="10">
        <v>0</v>
      </c>
      <c r="F100" s="10">
        <v>99</v>
      </c>
      <c r="G100" s="10">
        <v>2</v>
      </c>
      <c r="H100" s="10">
        <v>40</v>
      </c>
      <c r="I100" s="11">
        <v>2.02</v>
      </c>
      <c r="J100" s="12">
        <v>0.44400000000000001</v>
      </c>
      <c r="K100" s="11">
        <v>2.5499999999999998</v>
      </c>
      <c r="L100" s="10">
        <v>13</v>
      </c>
      <c r="M100" s="10">
        <v>222</v>
      </c>
      <c r="N100" s="10">
        <f>IF(G100&lt;=Cutoffs!$B$4,4,IF(G100&lt;=Cutoffs!$C$4,3,IF(G100&lt;=Cutoffs!$D$4,2,1)))</f>
        <v>3</v>
      </c>
      <c r="O100" s="10">
        <f>IF(F100&gt;=Cutoffs!$D$5,4,IF(F100&gt;=Cutoffs!$C$5,3,IF(F100&gt;=Cutoffs!$B$5,2,1)))</f>
        <v>3</v>
      </c>
      <c r="P100" s="10">
        <f>IF(H100&gt;=Cutoffs!$D$6,4,IF(H100&gt;=Cutoffs!$C$6,3,IF(H100&gt;=Cutoffs!$B$6,2,1)))</f>
        <v>4</v>
      </c>
      <c r="Q100" s="10">
        <f t="shared" si="2"/>
        <v>10</v>
      </c>
      <c r="R100" s="10" t="str">
        <f t="shared" si="3"/>
        <v>Champions</v>
      </c>
    </row>
    <row r="101" spans="1:18" x14ac:dyDescent="0.55000000000000004">
      <c r="A101" s="10" t="s">
        <v>141</v>
      </c>
      <c r="B101" s="10" t="s">
        <v>47</v>
      </c>
      <c r="C101" s="10" t="s">
        <v>35</v>
      </c>
      <c r="D101" s="10" t="s">
        <v>44</v>
      </c>
      <c r="E101" s="10">
        <v>0</v>
      </c>
      <c r="F101" s="10">
        <v>95</v>
      </c>
      <c r="G101" s="10">
        <v>37</v>
      </c>
      <c r="H101" s="10">
        <v>11</v>
      </c>
      <c r="I101" s="11">
        <v>3.8</v>
      </c>
      <c r="J101" s="12">
        <v>0.52600000000000002</v>
      </c>
      <c r="K101" s="11">
        <v>2.37</v>
      </c>
      <c r="L101" s="10">
        <v>15</v>
      </c>
      <c r="M101" s="10">
        <v>526</v>
      </c>
      <c r="N101" s="10">
        <f>IF(G101&lt;=Cutoffs!$B$4,4,IF(G101&lt;=Cutoffs!$C$4,3,IF(G101&lt;=Cutoffs!$D$4,2,1)))</f>
        <v>1</v>
      </c>
      <c r="O101" s="10">
        <f>IF(F101&gt;=Cutoffs!$D$5,4,IF(F101&gt;=Cutoffs!$C$5,3,IF(F101&gt;=Cutoffs!$B$5,2,1)))</f>
        <v>2</v>
      </c>
      <c r="P101" s="10">
        <f>IF(H101&gt;=Cutoffs!$D$6,4,IF(H101&gt;=Cutoffs!$C$6,3,IF(H101&gt;=Cutoffs!$B$6,2,1)))</f>
        <v>2</v>
      </c>
      <c r="Q101" s="10">
        <f t="shared" si="2"/>
        <v>5</v>
      </c>
      <c r="R101" s="10" t="str">
        <f t="shared" si="3"/>
        <v>Dormant</v>
      </c>
    </row>
    <row r="102" spans="1:18" x14ac:dyDescent="0.55000000000000004">
      <c r="A102" s="10" t="s">
        <v>142</v>
      </c>
      <c r="B102" s="10" t="s">
        <v>43</v>
      </c>
      <c r="C102" s="10" t="s">
        <v>31</v>
      </c>
      <c r="D102" s="10" t="s">
        <v>39</v>
      </c>
      <c r="E102" s="10">
        <v>0</v>
      </c>
      <c r="F102" s="10">
        <v>127</v>
      </c>
      <c r="G102" s="10">
        <v>8</v>
      </c>
      <c r="H102" s="10">
        <v>48</v>
      </c>
      <c r="I102" s="11">
        <v>5.08</v>
      </c>
      <c r="J102" s="12">
        <v>0.46500000000000002</v>
      </c>
      <c r="K102" s="11">
        <v>4.79</v>
      </c>
      <c r="L102" s="10">
        <v>83</v>
      </c>
      <c r="M102" s="10">
        <v>566</v>
      </c>
      <c r="N102" s="10">
        <f>IF(G102&lt;=Cutoffs!$B$4,4,IF(G102&lt;=Cutoffs!$C$4,3,IF(G102&lt;=Cutoffs!$D$4,2,1)))</f>
        <v>2</v>
      </c>
      <c r="O102" s="10">
        <f>IF(F102&gt;=Cutoffs!$D$5,4,IF(F102&gt;=Cutoffs!$C$5,3,IF(F102&gt;=Cutoffs!$B$5,2,1)))</f>
        <v>3</v>
      </c>
      <c r="P102" s="10">
        <f>IF(H102&gt;=Cutoffs!$D$6,4,IF(H102&gt;=Cutoffs!$C$6,3,IF(H102&gt;=Cutoffs!$B$6,2,1)))</f>
        <v>4</v>
      </c>
      <c r="Q102" s="10">
        <f t="shared" si="2"/>
        <v>9</v>
      </c>
      <c r="R102" s="10" t="str">
        <f t="shared" si="3"/>
        <v>At risk</v>
      </c>
    </row>
    <row r="103" spans="1:18" x14ac:dyDescent="0.55000000000000004">
      <c r="A103" s="10" t="s">
        <v>143</v>
      </c>
      <c r="B103" s="10" t="s">
        <v>38</v>
      </c>
      <c r="C103" s="10" t="s">
        <v>35</v>
      </c>
      <c r="D103" s="10" t="s">
        <v>36</v>
      </c>
      <c r="E103" s="10">
        <v>1</v>
      </c>
      <c r="F103" s="10">
        <v>69</v>
      </c>
      <c r="G103" s="10">
        <v>61</v>
      </c>
      <c r="H103" s="10">
        <v>28</v>
      </c>
      <c r="I103" s="11">
        <v>7.67</v>
      </c>
      <c r="J103" s="12">
        <v>0.49299999999999999</v>
      </c>
      <c r="K103" s="11">
        <v>3.49</v>
      </c>
      <c r="L103" s="10">
        <v>-59</v>
      </c>
      <c r="M103" s="10">
        <v>856</v>
      </c>
      <c r="N103" s="10">
        <f>IF(G103&lt;=Cutoffs!$B$4,4,IF(G103&lt;=Cutoffs!$C$4,3,IF(G103&lt;=Cutoffs!$D$4,2,1)))</f>
        <v>1</v>
      </c>
      <c r="O103" s="10">
        <f>IF(F103&gt;=Cutoffs!$D$5,4,IF(F103&gt;=Cutoffs!$C$5,3,IF(F103&gt;=Cutoffs!$B$5,2,1)))</f>
        <v>2</v>
      </c>
      <c r="P103" s="10">
        <f>IF(H103&gt;=Cutoffs!$D$6,4,IF(H103&gt;=Cutoffs!$C$6,3,IF(H103&gt;=Cutoffs!$B$6,2,1)))</f>
        <v>3</v>
      </c>
      <c r="Q103" s="10">
        <f t="shared" si="2"/>
        <v>6</v>
      </c>
      <c r="R103" s="10" t="str">
        <f t="shared" si="3"/>
        <v>Dormant</v>
      </c>
    </row>
    <row r="104" spans="1:18" x14ac:dyDescent="0.55000000000000004">
      <c r="A104" s="10" t="s">
        <v>144</v>
      </c>
      <c r="B104" s="10" t="s">
        <v>58</v>
      </c>
      <c r="C104" s="10" t="s">
        <v>31</v>
      </c>
      <c r="D104" s="10" t="s">
        <v>41</v>
      </c>
      <c r="E104" s="10">
        <v>0</v>
      </c>
      <c r="F104" s="10">
        <v>43</v>
      </c>
      <c r="G104" s="10">
        <v>10</v>
      </c>
      <c r="H104" s="10">
        <v>21</v>
      </c>
      <c r="I104" s="11">
        <v>2.69</v>
      </c>
      <c r="J104" s="12">
        <v>0.41899999999999998</v>
      </c>
      <c r="K104" s="11">
        <v>1.91</v>
      </c>
      <c r="L104" s="10">
        <v>43</v>
      </c>
      <c r="M104" s="10">
        <v>214</v>
      </c>
      <c r="N104" s="10">
        <f>IF(G104&lt;=Cutoffs!$B$4,4,IF(G104&lt;=Cutoffs!$C$4,3,IF(G104&lt;=Cutoffs!$D$4,2,1)))</f>
        <v>2</v>
      </c>
      <c r="O104" s="10">
        <f>IF(F104&gt;=Cutoffs!$D$5,4,IF(F104&gt;=Cutoffs!$C$5,3,IF(F104&gt;=Cutoffs!$B$5,2,1)))</f>
        <v>1</v>
      </c>
      <c r="P104" s="10">
        <f>IF(H104&gt;=Cutoffs!$D$6,4,IF(H104&gt;=Cutoffs!$C$6,3,IF(H104&gt;=Cutoffs!$B$6,2,1)))</f>
        <v>3</v>
      </c>
      <c r="Q104" s="10">
        <f t="shared" si="2"/>
        <v>6</v>
      </c>
      <c r="R104" s="10" t="str">
        <f t="shared" si="3"/>
        <v>Cooling</v>
      </c>
    </row>
    <row r="105" spans="1:18" x14ac:dyDescent="0.55000000000000004">
      <c r="A105" s="10" t="s">
        <v>145</v>
      </c>
      <c r="B105" s="10" t="s">
        <v>34</v>
      </c>
      <c r="C105" s="10" t="s">
        <v>35</v>
      </c>
      <c r="D105" s="10" t="s">
        <v>41</v>
      </c>
      <c r="E105" s="10">
        <v>0</v>
      </c>
      <c r="F105" s="10">
        <v>48</v>
      </c>
      <c r="G105" s="10">
        <v>8</v>
      </c>
      <c r="H105" s="10">
        <v>3</v>
      </c>
      <c r="I105" s="11">
        <v>3.2</v>
      </c>
      <c r="J105" s="12">
        <v>0.56200000000000006</v>
      </c>
      <c r="K105" s="11">
        <v>3.64</v>
      </c>
      <c r="L105" s="10">
        <v>18</v>
      </c>
      <c r="M105" s="10">
        <v>64</v>
      </c>
      <c r="N105" s="10">
        <f>IF(G105&lt;=Cutoffs!$B$4,4,IF(G105&lt;=Cutoffs!$C$4,3,IF(G105&lt;=Cutoffs!$D$4,2,1)))</f>
        <v>2</v>
      </c>
      <c r="O105" s="10">
        <f>IF(F105&gt;=Cutoffs!$D$5,4,IF(F105&gt;=Cutoffs!$C$5,3,IF(F105&gt;=Cutoffs!$B$5,2,1)))</f>
        <v>1</v>
      </c>
      <c r="P105" s="10">
        <f>IF(H105&gt;=Cutoffs!$D$6,4,IF(H105&gt;=Cutoffs!$C$6,3,IF(H105&gt;=Cutoffs!$B$6,2,1)))</f>
        <v>1</v>
      </c>
      <c r="Q105" s="10">
        <f t="shared" si="2"/>
        <v>4</v>
      </c>
      <c r="R105" s="10" t="str">
        <f t="shared" si="3"/>
        <v>Cooling</v>
      </c>
    </row>
    <row r="106" spans="1:18" x14ac:dyDescent="0.55000000000000004">
      <c r="A106" s="10" t="s">
        <v>146</v>
      </c>
      <c r="B106" s="10" t="s">
        <v>38</v>
      </c>
      <c r="C106" s="10" t="s">
        <v>35</v>
      </c>
      <c r="D106" s="10" t="s">
        <v>44</v>
      </c>
      <c r="E106" s="10">
        <v>0</v>
      </c>
      <c r="F106" s="10">
        <v>41</v>
      </c>
      <c r="G106" s="10">
        <v>1</v>
      </c>
      <c r="H106" s="10">
        <v>7</v>
      </c>
      <c r="I106" s="11">
        <v>1.52</v>
      </c>
      <c r="J106" s="12">
        <v>0.51200000000000001</v>
      </c>
      <c r="K106" s="11">
        <v>3.27</v>
      </c>
      <c r="L106" s="10">
        <v>33</v>
      </c>
      <c r="M106" s="10">
        <v>390</v>
      </c>
      <c r="N106" s="10">
        <f>IF(G106&lt;=Cutoffs!$B$4,4,IF(G106&lt;=Cutoffs!$C$4,3,IF(G106&lt;=Cutoffs!$D$4,2,1)))</f>
        <v>4</v>
      </c>
      <c r="O106" s="10">
        <f>IF(F106&gt;=Cutoffs!$D$5,4,IF(F106&gt;=Cutoffs!$C$5,3,IF(F106&gt;=Cutoffs!$B$5,2,1)))</f>
        <v>1</v>
      </c>
      <c r="P106" s="10">
        <f>IF(H106&gt;=Cutoffs!$D$6,4,IF(H106&gt;=Cutoffs!$C$6,3,IF(H106&gt;=Cutoffs!$B$6,2,1)))</f>
        <v>1</v>
      </c>
      <c r="Q106" s="10">
        <f t="shared" si="2"/>
        <v>6</v>
      </c>
      <c r="R106" s="10" t="str">
        <f t="shared" si="3"/>
        <v>Promising</v>
      </c>
    </row>
    <row r="107" spans="1:18" x14ac:dyDescent="0.55000000000000004">
      <c r="A107" s="10" t="s">
        <v>147</v>
      </c>
      <c r="B107" s="10" t="s">
        <v>58</v>
      </c>
      <c r="C107" s="10" t="s">
        <v>31</v>
      </c>
      <c r="D107" s="10" t="s">
        <v>41</v>
      </c>
      <c r="E107" s="10">
        <v>1</v>
      </c>
      <c r="F107" s="10">
        <v>128</v>
      </c>
      <c r="G107" s="10">
        <v>5</v>
      </c>
      <c r="H107" s="10">
        <v>4</v>
      </c>
      <c r="I107" s="11">
        <v>2.91</v>
      </c>
      <c r="J107" s="12">
        <v>0.47699999999999998</v>
      </c>
      <c r="K107" s="11">
        <v>3.19</v>
      </c>
      <c r="L107" s="10">
        <v>-16</v>
      </c>
      <c r="M107" s="10">
        <v>151</v>
      </c>
      <c r="N107" s="10">
        <f>IF(G107&lt;=Cutoffs!$B$4,4,IF(G107&lt;=Cutoffs!$C$4,3,IF(G107&lt;=Cutoffs!$D$4,2,1)))</f>
        <v>3</v>
      </c>
      <c r="O107" s="10">
        <f>IF(F107&gt;=Cutoffs!$D$5,4,IF(F107&gt;=Cutoffs!$C$5,3,IF(F107&gt;=Cutoffs!$B$5,2,1)))</f>
        <v>3</v>
      </c>
      <c r="P107" s="10">
        <f>IF(H107&gt;=Cutoffs!$D$6,4,IF(H107&gt;=Cutoffs!$C$6,3,IF(H107&gt;=Cutoffs!$B$6,2,1)))</f>
        <v>1</v>
      </c>
      <c r="Q107" s="10">
        <f t="shared" si="2"/>
        <v>7</v>
      </c>
      <c r="R107" s="10" t="str">
        <f t="shared" si="3"/>
        <v>Champions</v>
      </c>
    </row>
    <row r="108" spans="1:18" x14ac:dyDescent="0.55000000000000004">
      <c r="A108" s="10" t="s">
        <v>148</v>
      </c>
      <c r="B108" s="10" t="s">
        <v>30</v>
      </c>
      <c r="C108" s="10" t="s">
        <v>31</v>
      </c>
      <c r="D108" s="10" t="s">
        <v>41</v>
      </c>
      <c r="E108" s="10">
        <v>1</v>
      </c>
      <c r="F108" s="10">
        <v>42</v>
      </c>
      <c r="G108" s="10">
        <v>6</v>
      </c>
      <c r="H108" s="10">
        <v>18</v>
      </c>
      <c r="I108" s="11">
        <v>3</v>
      </c>
      <c r="J108" s="12">
        <v>0.38100000000000001</v>
      </c>
      <c r="K108" s="11">
        <v>2.35</v>
      </c>
      <c r="L108" s="10">
        <v>-4</v>
      </c>
      <c r="M108" s="10">
        <v>72</v>
      </c>
      <c r="N108" s="10">
        <f>IF(G108&lt;=Cutoffs!$B$4,4,IF(G108&lt;=Cutoffs!$C$4,3,IF(G108&lt;=Cutoffs!$D$4,2,1)))</f>
        <v>3</v>
      </c>
      <c r="O108" s="10">
        <f>IF(F108&gt;=Cutoffs!$D$5,4,IF(F108&gt;=Cutoffs!$C$5,3,IF(F108&gt;=Cutoffs!$B$5,2,1)))</f>
        <v>1</v>
      </c>
      <c r="P108" s="10">
        <f>IF(H108&gt;=Cutoffs!$D$6,4,IF(H108&gt;=Cutoffs!$C$6,3,IF(H108&gt;=Cutoffs!$B$6,2,1)))</f>
        <v>2</v>
      </c>
      <c r="Q108" s="10">
        <f t="shared" si="2"/>
        <v>6</v>
      </c>
      <c r="R108" s="10" t="str">
        <f t="shared" si="3"/>
        <v>Promising</v>
      </c>
    </row>
    <row r="109" spans="1:18" x14ac:dyDescent="0.55000000000000004">
      <c r="A109" s="10" t="s">
        <v>149</v>
      </c>
      <c r="B109" s="10" t="s">
        <v>38</v>
      </c>
      <c r="C109" s="10" t="s">
        <v>35</v>
      </c>
      <c r="D109" s="10" t="s">
        <v>44</v>
      </c>
      <c r="E109" s="10">
        <v>1</v>
      </c>
      <c r="F109" s="10">
        <v>175</v>
      </c>
      <c r="G109" s="10">
        <v>26</v>
      </c>
      <c r="H109" s="10">
        <v>12</v>
      </c>
      <c r="I109" s="11">
        <v>5</v>
      </c>
      <c r="J109" s="12">
        <v>0.48599999999999999</v>
      </c>
      <c r="K109" s="11">
        <v>3.49</v>
      </c>
      <c r="L109" s="10">
        <v>63</v>
      </c>
      <c r="M109" s="10">
        <v>556</v>
      </c>
      <c r="N109" s="10">
        <f>IF(G109&lt;=Cutoffs!$B$4,4,IF(G109&lt;=Cutoffs!$C$4,3,IF(G109&lt;=Cutoffs!$D$4,2,1)))</f>
        <v>1</v>
      </c>
      <c r="O109" s="10">
        <f>IF(F109&gt;=Cutoffs!$D$5,4,IF(F109&gt;=Cutoffs!$C$5,3,IF(F109&gt;=Cutoffs!$B$5,2,1)))</f>
        <v>4</v>
      </c>
      <c r="P109" s="10">
        <f>IF(H109&gt;=Cutoffs!$D$6,4,IF(H109&gt;=Cutoffs!$C$6,3,IF(H109&gt;=Cutoffs!$B$6,2,1)))</f>
        <v>2</v>
      </c>
      <c r="Q109" s="10">
        <f t="shared" si="2"/>
        <v>7</v>
      </c>
      <c r="R109" s="10" t="str">
        <f t="shared" si="3"/>
        <v>At risk</v>
      </c>
    </row>
    <row r="110" spans="1:18" x14ac:dyDescent="0.55000000000000004">
      <c r="A110" s="10" t="s">
        <v>150</v>
      </c>
      <c r="B110" s="10" t="s">
        <v>47</v>
      </c>
      <c r="C110" s="10" t="s">
        <v>35</v>
      </c>
      <c r="D110" s="10" t="s">
        <v>41</v>
      </c>
      <c r="E110" s="10">
        <v>0</v>
      </c>
      <c r="F110" s="10">
        <v>170</v>
      </c>
      <c r="G110" s="10">
        <v>0</v>
      </c>
      <c r="H110" s="10">
        <v>17</v>
      </c>
      <c r="I110" s="11">
        <v>6.07</v>
      </c>
      <c r="J110" s="12">
        <v>0.54700000000000004</v>
      </c>
      <c r="K110" s="11">
        <v>5.09</v>
      </c>
      <c r="L110" s="10">
        <v>144</v>
      </c>
      <c r="M110" s="10">
        <v>577</v>
      </c>
      <c r="N110" s="10">
        <f>IF(G110&lt;=Cutoffs!$B$4,4,IF(G110&lt;=Cutoffs!$C$4,3,IF(G110&lt;=Cutoffs!$D$4,2,1)))</f>
        <v>4</v>
      </c>
      <c r="O110" s="10">
        <f>IF(F110&gt;=Cutoffs!$D$5,4,IF(F110&gt;=Cutoffs!$C$5,3,IF(F110&gt;=Cutoffs!$B$5,2,1)))</f>
        <v>4</v>
      </c>
      <c r="P110" s="10">
        <f>IF(H110&gt;=Cutoffs!$D$6,4,IF(H110&gt;=Cutoffs!$C$6,3,IF(H110&gt;=Cutoffs!$B$6,2,1)))</f>
        <v>2</v>
      </c>
      <c r="Q110" s="10">
        <f t="shared" si="2"/>
        <v>10</v>
      </c>
      <c r="R110" s="10" t="str">
        <f t="shared" si="3"/>
        <v>Champions</v>
      </c>
    </row>
    <row r="111" spans="1:18" x14ac:dyDescent="0.55000000000000004">
      <c r="A111" s="10" t="s">
        <v>151</v>
      </c>
      <c r="B111" s="10" t="s">
        <v>30</v>
      </c>
      <c r="C111" s="10" t="s">
        <v>31</v>
      </c>
      <c r="D111" s="10" t="s">
        <v>44</v>
      </c>
      <c r="E111" s="10">
        <v>0</v>
      </c>
      <c r="F111" s="10">
        <v>45</v>
      </c>
      <c r="G111" s="10">
        <v>1</v>
      </c>
      <c r="H111" s="10">
        <v>20</v>
      </c>
      <c r="I111" s="11">
        <v>1.88</v>
      </c>
      <c r="J111" s="12">
        <v>0.48899999999999999</v>
      </c>
      <c r="K111" s="11">
        <v>2.27</v>
      </c>
      <c r="L111" s="10">
        <v>-1</v>
      </c>
      <c r="M111" s="10">
        <v>768</v>
      </c>
      <c r="N111" s="10">
        <f>IF(G111&lt;=Cutoffs!$B$4,4,IF(G111&lt;=Cutoffs!$C$4,3,IF(G111&lt;=Cutoffs!$D$4,2,1)))</f>
        <v>4</v>
      </c>
      <c r="O111" s="10">
        <f>IF(F111&gt;=Cutoffs!$D$5,4,IF(F111&gt;=Cutoffs!$C$5,3,IF(F111&gt;=Cutoffs!$B$5,2,1)))</f>
        <v>1</v>
      </c>
      <c r="P111" s="10">
        <f>IF(H111&gt;=Cutoffs!$D$6,4,IF(H111&gt;=Cutoffs!$C$6,3,IF(H111&gt;=Cutoffs!$B$6,2,1)))</f>
        <v>3</v>
      </c>
      <c r="Q111" s="10">
        <f t="shared" si="2"/>
        <v>8</v>
      </c>
      <c r="R111" s="10" t="str">
        <f t="shared" si="3"/>
        <v>Promising</v>
      </c>
    </row>
    <row r="112" spans="1:18" x14ac:dyDescent="0.55000000000000004">
      <c r="A112" s="10" t="s">
        <v>152</v>
      </c>
      <c r="B112" s="10" t="s">
        <v>30</v>
      </c>
      <c r="C112" s="10" t="s">
        <v>31</v>
      </c>
      <c r="D112" s="10" t="s">
        <v>44</v>
      </c>
      <c r="E112" s="10">
        <v>0</v>
      </c>
      <c r="F112" s="10">
        <v>29</v>
      </c>
      <c r="G112" s="10">
        <v>19</v>
      </c>
      <c r="H112" s="10">
        <v>20</v>
      </c>
      <c r="I112" s="11">
        <v>1.45</v>
      </c>
      <c r="J112" s="12">
        <v>0.58599999999999997</v>
      </c>
      <c r="K112" s="11">
        <v>3.74</v>
      </c>
      <c r="L112" s="10">
        <v>-5</v>
      </c>
      <c r="M112" s="10">
        <v>646</v>
      </c>
      <c r="N112" s="10">
        <f>IF(G112&lt;=Cutoffs!$B$4,4,IF(G112&lt;=Cutoffs!$C$4,3,IF(G112&lt;=Cutoffs!$D$4,2,1)))</f>
        <v>2</v>
      </c>
      <c r="O112" s="10">
        <f>IF(F112&gt;=Cutoffs!$D$5,4,IF(F112&gt;=Cutoffs!$C$5,3,IF(F112&gt;=Cutoffs!$B$5,2,1)))</f>
        <v>1</v>
      </c>
      <c r="P112" s="10">
        <f>IF(H112&gt;=Cutoffs!$D$6,4,IF(H112&gt;=Cutoffs!$C$6,3,IF(H112&gt;=Cutoffs!$B$6,2,1)))</f>
        <v>3</v>
      </c>
      <c r="Q112" s="10">
        <f t="shared" si="2"/>
        <v>6</v>
      </c>
      <c r="R112" s="10" t="str">
        <f t="shared" si="3"/>
        <v>Cooling</v>
      </c>
    </row>
    <row r="113" spans="1:18" x14ac:dyDescent="0.55000000000000004">
      <c r="A113" s="10" t="s">
        <v>153</v>
      </c>
      <c r="B113" s="10" t="s">
        <v>43</v>
      </c>
      <c r="C113" s="10" t="s">
        <v>31</v>
      </c>
      <c r="D113" s="10" t="s">
        <v>44</v>
      </c>
      <c r="E113" s="10">
        <v>0</v>
      </c>
      <c r="F113" s="10">
        <v>82</v>
      </c>
      <c r="G113" s="10">
        <v>9</v>
      </c>
      <c r="H113" s="10">
        <v>2</v>
      </c>
      <c r="I113" s="11">
        <v>1.78</v>
      </c>
      <c r="J113" s="12">
        <v>0.48799999999999999</v>
      </c>
      <c r="K113" s="11">
        <v>2.79</v>
      </c>
      <c r="L113" s="10">
        <v>-52</v>
      </c>
      <c r="M113" s="10">
        <v>299</v>
      </c>
      <c r="N113" s="10">
        <f>IF(G113&lt;=Cutoffs!$B$4,4,IF(G113&lt;=Cutoffs!$C$4,3,IF(G113&lt;=Cutoffs!$D$4,2,1)))</f>
        <v>2</v>
      </c>
      <c r="O113" s="10">
        <f>IF(F113&gt;=Cutoffs!$D$5,4,IF(F113&gt;=Cutoffs!$C$5,3,IF(F113&gt;=Cutoffs!$B$5,2,1)))</f>
        <v>2</v>
      </c>
      <c r="P113" s="10">
        <f>IF(H113&gt;=Cutoffs!$D$6,4,IF(H113&gt;=Cutoffs!$C$6,3,IF(H113&gt;=Cutoffs!$B$6,2,1)))</f>
        <v>1</v>
      </c>
      <c r="Q113" s="10">
        <f t="shared" si="2"/>
        <v>5</v>
      </c>
      <c r="R113" s="10" t="str">
        <f t="shared" si="3"/>
        <v>Cooling</v>
      </c>
    </row>
    <row r="114" spans="1:18" x14ac:dyDescent="0.55000000000000004">
      <c r="A114" s="10" t="s">
        <v>154</v>
      </c>
      <c r="B114" s="10" t="s">
        <v>47</v>
      </c>
      <c r="C114" s="10" t="s">
        <v>35</v>
      </c>
      <c r="D114" s="10" t="s">
        <v>44</v>
      </c>
      <c r="E114" s="10">
        <v>0</v>
      </c>
      <c r="F114" s="10">
        <v>109</v>
      </c>
      <c r="G114" s="10">
        <v>1</v>
      </c>
      <c r="H114" s="10">
        <v>7</v>
      </c>
      <c r="I114" s="11">
        <v>2.48</v>
      </c>
      <c r="J114" s="12">
        <v>0.45</v>
      </c>
      <c r="K114" s="11">
        <v>2.85</v>
      </c>
      <c r="L114" s="10">
        <v>25</v>
      </c>
      <c r="M114" s="10">
        <v>385</v>
      </c>
      <c r="N114" s="10">
        <f>IF(G114&lt;=Cutoffs!$B$4,4,IF(G114&lt;=Cutoffs!$C$4,3,IF(G114&lt;=Cutoffs!$D$4,2,1)))</f>
        <v>4</v>
      </c>
      <c r="O114" s="10">
        <f>IF(F114&gt;=Cutoffs!$D$5,4,IF(F114&gt;=Cutoffs!$C$5,3,IF(F114&gt;=Cutoffs!$B$5,2,1)))</f>
        <v>3</v>
      </c>
      <c r="P114" s="10">
        <f>IF(H114&gt;=Cutoffs!$D$6,4,IF(H114&gt;=Cutoffs!$C$6,3,IF(H114&gt;=Cutoffs!$B$6,2,1)))</f>
        <v>1</v>
      </c>
      <c r="Q114" s="10">
        <f t="shared" si="2"/>
        <v>8</v>
      </c>
      <c r="R114" s="10" t="str">
        <f t="shared" si="3"/>
        <v>Champions</v>
      </c>
    </row>
    <row r="115" spans="1:18" x14ac:dyDescent="0.55000000000000004">
      <c r="A115" s="10" t="s">
        <v>155</v>
      </c>
      <c r="B115" s="10" t="s">
        <v>30</v>
      </c>
      <c r="C115" s="10" t="s">
        <v>31</v>
      </c>
      <c r="D115" s="10" t="s">
        <v>36</v>
      </c>
      <c r="E115" s="10">
        <v>0</v>
      </c>
      <c r="F115" s="10">
        <v>154</v>
      </c>
      <c r="G115" s="10">
        <v>3</v>
      </c>
      <c r="H115" s="10">
        <v>43</v>
      </c>
      <c r="I115" s="11">
        <v>3.5</v>
      </c>
      <c r="J115" s="12">
        <v>0.49299999999999999</v>
      </c>
      <c r="K115" s="11">
        <v>2.12</v>
      </c>
      <c r="L115" s="10">
        <v>-46</v>
      </c>
      <c r="M115" s="10">
        <v>53</v>
      </c>
      <c r="N115" s="10">
        <f>IF(G115&lt;=Cutoffs!$B$4,4,IF(G115&lt;=Cutoffs!$C$4,3,IF(G115&lt;=Cutoffs!$D$4,2,1)))</f>
        <v>3</v>
      </c>
      <c r="O115" s="10">
        <f>IF(F115&gt;=Cutoffs!$D$5,4,IF(F115&gt;=Cutoffs!$C$5,3,IF(F115&gt;=Cutoffs!$B$5,2,1)))</f>
        <v>3</v>
      </c>
      <c r="P115" s="10">
        <f>IF(H115&gt;=Cutoffs!$D$6,4,IF(H115&gt;=Cutoffs!$C$6,3,IF(H115&gt;=Cutoffs!$B$6,2,1)))</f>
        <v>4</v>
      </c>
      <c r="Q115" s="10">
        <f t="shared" si="2"/>
        <v>10</v>
      </c>
      <c r="R115" s="10" t="str">
        <f t="shared" si="3"/>
        <v>Champions</v>
      </c>
    </row>
    <row r="116" spans="1:18" x14ac:dyDescent="0.55000000000000004">
      <c r="A116" s="10" t="s">
        <v>156</v>
      </c>
      <c r="B116" s="10" t="s">
        <v>30</v>
      </c>
      <c r="C116" s="10" t="s">
        <v>31</v>
      </c>
      <c r="D116" s="10" t="s">
        <v>44</v>
      </c>
      <c r="E116" s="10">
        <v>0</v>
      </c>
      <c r="F116" s="10">
        <v>57</v>
      </c>
      <c r="G116" s="10">
        <v>3</v>
      </c>
      <c r="H116" s="10">
        <v>25</v>
      </c>
      <c r="I116" s="11">
        <v>2.38</v>
      </c>
      <c r="J116" s="12">
        <v>0.45600000000000002</v>
      </c>
      <c r="K116" s="11">
        <v>1.9</v>
      </c>
      <c r="L116" s="10">
        <v>-27</v>
      </c>
      <c r="M116" s="10">
        <v>286</v>
      </c>
      <c r="N116" s="10">
        <f>IF(G116&lt;=Cutoffs!$B$4,4,IF(G116&lt;=Cutoffs!$C$4,3,IF(G116&lt;=Cutoffs!$D$4,2,1)))</f>
        <v>3</v>
      </c>
      <c r="O116" s="10">
        <f>IF(F116&gt;=Cutoffs!$D$5,4,IF(F116&gt;=Cutoffs!$C$5,3,IF(F116&gt;=Cutoffs!$B$5,2,1)))</f>
        <v>2</v>
      </c>
      <c r="P116" s="10">
        <f>IF(H116&gt;=Cutoffs!$D$6,4,IF(H116&gt;=Cutoffs!$C$6,3,IF(H116&gt;=Cutoffs!$B$6,2,1)))</f>
        <v>3</v>
      </c>
      <c r="Q116" s="10">
        <f t="shared" si="2"/>
        <v>8</v>
      </c>
      <c r="R116" s="10" t="str">
        <f t="shared" si="3"/>
        <v>Promising</v>
      </c>
    </row>
    <row r="117" spans="1:18" x14ac:dyDescent="0.55000000000000004">
      <c r="A117" s="10" t="s">
        <v>157</v>
      </c>
      <c r="B117" s="10" t="s">
        <v>30</v>
      </c>
      <c r="C117" s="10" t="s">
        <v>31</v>
      </c>
      <c r="D117" s="10" t="s">
        <v>36</v>
      </c>
      <c r="E117" s="10">
        <v>1</v>
      </c>
      <c r="F117" s="10">
        <v>116</v>
      </c>
      <c r="G117" s="10">
        <v>7</v>
      </c>
      <c r="H117" s="10">
        <v>42</v>
      </c>
      <c r="I117" s="11">
        <v>4.46</v>
      </c>
      <c r="J117" s="12">
        <v>0.50900000000000001</v>
      </c>
      <c r="K117" s="11">
        <v>2.87</v>
      </c>
      <c r="L117" s="10">
        <v>-54</v>
      </c>
      <c r="M117" s="10">
        <v>435</v>
      </c>
      <c r="N117" s="10">
        <f>IF(G117&lt;=Cutoffs!$B$4,4,IF(G117&lt;=Cutoffs!$C$4,3,IF(G117&lt;=Cutoffs!$D$4,2,1)))</f>
        <v>2</v>
      </c>
      <c r="O117" s="10">
        <f>IF(F117&gt;=Cutoffs!$D$5,4,IF(F117&gt;=Cutoffs!$C$5,3,IF(F117&gt;=Cutoffs!$B$5,2,1)))</f>
        <v>3</v>
      </c>
      <c r="P117" s="10">
        <f>IF(H117&gt;=Cutoffs!$D$6,4,IF(H117&gt;=Cutoffs!$C$6,3,IF(H117&gt;=Cutoffs!$B$6,2,1)))</f>
        <v>4</v>
      </c>
      <c r="Q117" s="10">
        <f t="shared" si="2"/>
        <v>9</v>
      </c>
      <c r="R117" s="10" t="str">
        <f t="shared" si="3"/>
        <v>At risk</v>
      </c>
    </row>
    <row r="118" spans="1:18" x14ac:dyDescent="0.55000000000000004">
      <c r="A118" s="10" t="s">
        <v>158</v>
      </c>
      <c r="B118" s="10" t="s">
        <v>30</v>
      </c>
      <c r="C118" s="10" t="s">
        <v>31</v>
      </c>
      <c r="D118" s="10" t="s">
        <v>41</v>
      </c>
      <c r="E118" s="10">
        <v>1</v>
      </c>
      <c r="F118" s="10">
        <v>134</v>
      </c>
      <c r="G118" s="10">
        <v>16</v>
      </c>
      <c r="H118" s="10">
        <v>38</v>
      </c>
      <c r="I118" s="11">
        <v>3.83</v>
      </c>
      <c r="J118" s="12">
        <v>0.46300000000000002</v>
      </c>
      <c r="K118" s="11">
        <v>2.5499999999999998</v>
      </c>
      <c r="L118" s="10">
        <v>134</v>
      </c>
      <c r="M118" s="10">
        <v>196</v>
      </c>
      <c r="N118" s="10">
        <f>IF(G118&lt;=Cutoffs!$B$4,4,IF(G118&lt;=Cutoffs!$C$4,3,IF(G118&lt;=Cutoffs!$D$4,2,1)))</f>
        <v>2</v>
      </c>
      <c r="O118" s="10">
        <f>IF(F118&gt;=Cutoffs!$D$5,4,IF(F118&gt;=Cutoffs!$C$5,3,IF(F118&gt;=Cutoffs!$B$5,2,1)))</f>
        <v>3</v>
      </c>
      <c r="P118" s="10">
        <f>IF(H118&gt;=Cutoffs!$D$6,4,IF(H118&gt;=Cutoffs!$C$6,3,IF(H118&gt;=Cutoffs!$B$6,2,1)))</f>
        <v>4</v>
      </c>
      <c r="Q118" s="10">
        <f t="shared" si="2"/>
        <v>9</v>
      </c>
      <c r="R118" s="10" t="str">
        <f t="shared" si="3"/>
        <v>At risk</v>
      </c>
    </row>
    <row r="119" spans="1:18" x14ac:dyDescent="0.55000000000000004">
      <c r="A119" s="10" t="s">
        <v>159</v>
      </c>
      <c r="B119" s="10" t="s">
        <v>47</v>
      </c>
      <c r="C119" s="10" t="s">
        <v>35</v>
      </c>
      <c r="D119" s="10" t="s">
        <v>36</v>
      </c>
      <c r="E119" s="10">
        <v>0</v>
      </c>
      <c r="F119" s="10">
        <v>201</v>
      </c>
      <c r="G119" s="10">
        <v>1</v>
      </c>
      <c r="H119" s="10">
        <v>56</v>
      </c>
      <c r="I119" s="11">
        <v>3.35</v>
      </c>
      <c r="J119" s="12">
        <v>0.502</v>
      </c>
      <c r="K119" s="11">
        <v>4.49</v>
      </c>
      <c r="L119" s="10">
        <v>91</v>
      </c>
      <c r="M119" s="10">
        <v>205</v>
      </c>
      <c r="N119" s="10">
        <f>IF(G119&lt;=Cutoffs!$B$4,4,IF(G119&lt;=Cutoffs!$C$4,3,IF(G119&lt;=Cutoffs!$D$4,2,1)))</f>
        <v>4</v>
      </c>
      <c r="O119" s="10">
        <f>IF(F119&gt;=Cutoffs!$D$5,4,IF(F119&gt;=Cutoffs!$C$5,3,IF(F119&gt;=Cutoffs!$B$5,2,1)))</f>
        <v>4</v>
      </c>
      <c r="P119" s="10">
        <f>IF(H119&gt;=Cutoffs!$D$6,4,IF(H119&gt;=Cutoffs!$C$6,3,IF(H119&gt;=Cutoffs!$B$6,2,1)))</f>
        <v>4</v>
      </c>
      <c r="Q119" s="10">
        <f t="shared" si="2"/>
        <v>12</v>
      </c>
      <c r="R119" s="10" t="str">
        <f t="shared" si="3"/>
        <v>Champions</v>
      </c>
    </row>
    <row r="120" spans="1:18" x14ac:dyDescent="0.55000000000000004">
      <c r="A120" s="10" t="s">
        <v>160</v>
      </c>
      <c r="B120" s="10" t="s">
        <v>38</v>
      </c>
      <c r="C120" s="10" t="s">
        <v>35</v>
      </c>
      <c r="D120" s="10" t="s">
        <v>41</v>
      </c>
      <c r="E120" s="10">
        <v>0</v>
      </c>
      <c r="F120" s="10">
        <v>120</v>
      </c>
      <c r="G120" s="10">
        <v>1</v>
      </c>
      <c r="H120" s="10">
        <v>12</v>
      </c>
      <c r="I120" s="11">
        <v>2.31</v>
      </c>
      <c r="J120" s="12">
        <v>0.45800000000000002</v>
      </c>
      <c r="K120" s="11">
        <v>4.1100000000000003</v>
      </c>
      <c r="L120" s="10">
        <v>18</v>
      </c>
      <c r="M120" s="10">
        <v>609</v>
      </c>
      <c r="N120" s="10">
        <f>IF(G120&lt;=Cutoffs!$B$4,4,IF(G120&lt;=Cutoffs!$C$4,3,IF(G120&lt;=Cutoffs!$D$4,2,1)))</f>
        <v>4</v>
      </c>
      <c r="O120" s="10">
        <f>IF(F120&gt;=Cutoffs!$D$5,4,IF(F120&gt;=Cutoffs!$C$5,3,IF(F120&gt;=Cutoffs!$B$5,2,1)))</f>
        <v>3</v>
      </c>
      <c r="P120" s="10">
        <f>IF(H120&gt;=Cutoffs!$D$6,4,IF(H120&gt;=Cutoffs!$C$6,3,IF(H120&gt;=Cutoffs!$B$6,2,1)))</f>
        <v>2</v>
      </c>
      <c r="Q120" s="10">
        <f t="shared" si="2"/>
        <v>9</v>
      </c>
      <c r="R120" s="10" t="str">
        <f t="shared" si="3"/>
        <v>Champions</v>
      </c>
    </row>
    <row r="121" spans="1:18" x14ac:dyDescent="0.55000000000000004">
      <c r="A121" s="10" t="s">
        <v>161</v>
      </c>
      <c r="B121" s="10" t="s">
        <v>30</v>
      </c>
      <c r="C121" s="10" t="s">
        <v>31</v>
      </c>
      <c r="D121" s="10" t="s">
        <v>36</v>
      </c>
      <c r="E121" s="10">
        <v>0</v>
      </c>
      <c r="F121" s="10">
        <v>34</v>
      </c>
      <c r="G121" s="10">
        <v>5</v>
      </c>
      <c r="H121" s="10">
        <v>7</v>
      </c>
      <c r="I121" s="11">
        <v>4.25</v>
      </c>
      <c r="J121" s="12">
        <v>0.441</v>
      </c>
      <c r="K121" s="11">
        <v>2.87</v>
      </c>
      <c r="L121" s="10">
        <v>-26</v>
      </c>
      <c r="M121" s="10">
        <v>36</v>
      </c>
      <c r="N121" s="10">
        <f>IF(G121&lt;=Cutoffs!$B$4,4,IF(G121&lt;=Cutoffs!$C$4,3,IF(G121&lt;=Cutoffs!$D$4,2,1)))</f>
        <v>3</v>
      </c>
      <c r="O121" s="10">
        <f>IF(F121&gt;=Cutoffs!$D$5,4,IF(F121&gt;=Cutoffs!$C$5,3,IF(F121&gt;=Cutoffs!$B$5,2,1)))</f>
        <v>1</v>
      </c>
      <c r="P121" s="10">
        <f>IF(H121&gt;=Cutoffs!$D$6,4,IF(H121&gt;=Cutoffs!$C$6,3,IF(H121&gt;=Cutoffs!$B$6,2,1)))</f>
        <v>1</v>
      </c>
      <c r="Q121" s="10">
        <f t="shared" si="2"/>
        <v>5</v>
      </c>
      <c r="R121" s="10" t="str">
        <f t="shared" si="3"/>
        <v>Promising</v>
      </c>
    </row>
    <row r="122" spans="1:18" x14ac:dyDescent="0.55000000000000004">
      <c r="A122" s="10" t="s">
        <v>162</v>
      </c>
      <c r="B122" s="10" t="s">
        <v>38</v>
      </c>
      <c r="C122" s="10" t="s">
        <v>35</v>
      </c>
      <c r="D122" s="10" t="s">
        <v>39</v>
      </c>
      <c r="E122" s="10">
        <v>0</v>
      </c>
      <c r="F122" s="10">
        <v>76</v>
      </c>
      <c r="G122" s="10">
        <v>2</v>
      </c>
      <c r="H122" s="10">
        <v>10</v>
      </c>
      <c r="I122" s="11">
        <v>2.81</v>
      </c>
      <c r="J122" s="12">
        <v>0.44700000000000001</v>
      </c>
      <c r="K122" s="11">
        <v>2.83</v>
      </c>
      <c r="L122" s="10">
        <v>-18</v>
      </c>
      <c r="M122" s="10">
        <v>124</v>
      </c>
      <c r="N122" s="10">
        <f>IF(G122&lt;=Cutoffs!$B$4,4,IF(G122&lt;=Cutoffs!$C$4,3,IF(G122&lt;=Cutoffs!$D$4,2,1)))</f>
        <v>3</v>
      </c>
      <c r="O122" s="10">
        <f>IF(F122&gt;=Cutoffs!$D$5,4,IF(F122&gt;=Cutoffs!$C$5,3,IF(F122&gt;=Cutoffs!$B$5,2,1)))</f>
        <v>2</v>
      </c>
      <c r="P122" s="10">
        <f>IF(H122&gt;=Cutoffs!$D$6,4,IF(H122&gt;=Cutoffs!$C$6,3,IF(H122&gt;=Cutoffs!$B$6,2,1)))</f>
        <v>1</v>
      </c>
      <c r="Q122" s="10">
        <f t="shared" si="2"/>
        <v>6</v>
      </c>
      <c r="R122" s="10" t="str">
        <f t="shared" si="3"/>
        <v>Promising</v>
      </c>
    </row>
    <row r="123" spans="1:18" x14ac:dyDescent="0.55000000000000004">
      <c r="A123" s="10" t="s">
        <v>163</v>
      </c>
      <c r="B123" s="10" t="s">
        <v>47</v>
      </c>
      <c r="C123" s="10" t="s">
        <v>35</v>
      </c>
      <c r="D123" s="10" t="s">
        <v>41</v>
      </c>
      <c r="E123" s="10">
        <v>0</v>
      </c>
      <c r="F123" s="10">
        <v>198</v>
      </c>
      <c r="G123" s="10">
        <v>11</v>
      </c>
      <c r="H123" s="10">
        <v>51</v>
      </c>
      <c r="I123" s="11">
        <v>5.82</v>
      </c>
      <c r="J123" s="12">
        <v>0.55600000000000005</v>
      </c>
      <c r="K123" s="11">
        <v>3.22</v>
      </c>
      <c r="L123" s="10">
        <v>28</v>
      </c>
      <c r="M123" s="10">
        <v>268</v>
      </c>
      <c r="N123" s="10">
        <f>IF(G123&lt;=Cutoffs!$B$4,4,IF(G123&lt;=Cutoffs!$C$4,3,IF(G123&lt;=Cutoffs!$D$4,2,1)))</f>
        <v>2</v>
      </c>
      <c r="O123" s="10">
        <f>IF(F123&gt;=Cutoffs!$D$5,4,IF(F123&gt;=Cutoffs!$C$5,3,IF(F123&gt;=Cutoffs!$B$5,2,1)))</f>
        <v>4</v>
      </c>
      <c r="P123" s="10">
        <f>IF(H123&gt;=Cutoffs!$D$6,4,IF(H123&gt;=Cutoffs!$C$6,3,IF(H123&gt;=Cutoffs!$B$6,2,1)))</f>
        <v>4</v>
      </c>
      <c r="Q123" s="10">
        <f t="shared" si="2"/>
        <v>10</v>
      </c>
      <c r="R123" s="10" t="str">
        <f t="shared" si="3"/>
        <v>At risk</v>
      </c>
    </row>
    <row r="124" spans="1:18" x14ac:dyDescent="0.55000000000000004">
      <c r="A124" s="10" t="s">
        <v>164</v>
      </c>
      <c r="B124" s="10" t="s">
        <v>43</v>
      </c>
      <c r="C124" s="10" t="s">
        <v>31</v>
      </c>
      <c r="D124" s="10" t="s">
        <v>39</v>
      </c>
      <c r="E124" s="10">
        <v>0</v>
      </c>
      <c r="F124" s="10">
        <v>136</v>
      </c>
      <c r="G124" s="10">
        <v>1</v>
      </c>
      <c r="H124" s="10">
        <v>21</v>
      </c>
      <c r="I124" s="11">
        <v>2.62</v>
      </c>
      <c r="J124" s="12">
        <v>0.5</v>
      </c>
      <c r="K124" s="11">
        <v>2.7</v>
      </c>
      <c r="L124" s="10">
        <v>50</v>
      </c>
      <c r="M124" s="10">
        <v>139</v>
      </c>
      <c r="N124" s="10">
        <f>IF(G124&lt;=Cutoffs!$B$4,4,IF(G124&lt;=Cutoffs!$C$4,3,IF(G124&lt;=Cutoffs!$D$4,2,1)))</f>
        <v>4</v>
      </c>
      <c r="O124" s="10">
        <f>IF(F124&gt;=Cutoffs!$D$5,4,IF(F124&gt;=Cutoffs!$C$5,3,IF(F124&gt;=Cutoffs!$B$5,2,1)))</f>
        <v>3</v>
      </c>
      <c r="P124" s="10">
        <f>IF(H124&gt;=Cutoffs!$D$6,4,IF(H124&gt;=Cutoffs!$C$6,3,IF(H124&gt;=Cutoffs!$B$6,2,1)))</f>
        <v>3</v>
      </c>
      <c r="Q124" s="10">
        <f t="shared" si="2"/>
        <v>10</v>
      </c>
      <c r="R124" s="10" t="str">
        <f t="shared" si="3"/>
        <v>Champions</v>
      </c>
    </row>
    <row r="125" spans="1:18" x14ac:dyDescent="0.55000000000000004">
      <c r="A125" s="10" t="s">
        <v>165</v>
      </c>
      <c r="B125" s="10" t="s">
        <v>38</v>
      </c>
      <c r="C125" s="10" t="s">
        <v>35</v>
      </c>
      <c r="D125" s="10" t="s">
        <v>41</v>
      </c>
      <c r="E125" s="10">
        <v>0</v>
      </c>
      <c r="F125" s="10">
        <v>198</v>
      </c>
      <c r="G125" s="10">
        <v>10</v>
      </c>
      <c r="H125" s="10">
        <v>37</v>
      </c>
      <c r="I125" s="11">
        <v>5.21</v>
      </c>
      <c r="J125" s="12">
        <v>0.505</v>
      </c>
      <c r="K125" s="11">
        <v>4.57</v>
      </c>
      <c r="L125" s="10">
        <v>124</v>
      </c>
      <c r="M125" s="10">
        <v>874</v>
      </c>
      <c r="N125" s="10">
        <f>IF(G125&lt;=Cutoffs!$B$4,4,IF(G125&lt;=Cutoffs!$C$4,3,IF(G125&lt;=Cutoffs!$D$4,2,1)))</f>
        <v>2</v>
      </c>
      <c r="O125" s="10">
        <f>IF(F125&gt;=Cutoffs!$D$5,4,IF(F125&gt;=Cutoffs!$C$5,3,IF(F125&gt;=Cutoffs!$B$5,2,1)))</f>
        <v>4</v>
      </c>
      <c r="P125" s="10">
        <f>IF(H125&gt;=Cutoffs!$D$6,4,IF(H125&gt;=Cutoffs!$C$6,3,IF(H125&gt;=Cutoffs!$B$6,2,1)))</f>
        <v>4</v>
      </c>
      <c r="Q125" s="10">
        <f t="shared" si="2"/>
        <v>10</v>
      </c>
      <c r="R125" s="10" t="str">
        <f t="shared" si="3"/>
        <v>At risk</v>
      </c>
    </row>
    <row r="126" spans="1:18" x14ac:dyDescent="0.55000000000000004">
      <c r="A126" s="10" t="s">
        <v>166</v>
      </c>
      <c r="B126" s="10" t="s">
        <v>38</v>
      </c>
      <c r="C126" s="10" t="s">
        <v>35</v>
      </c>
      <c r="D126" s="10" t="s">
        <v>44</v>
      </c>
      <c r="E126" s="10">
        <v>0</v>
      </c>
      <c r="F126" s="10">
        <v>96</v>
      </c>
      <c r="G126" s="10">
        <v>23</v>
      </c>
      <c r="H126" s="10">
        <v>47</v>
      </c>
      <c r="I126" s="11">
        <v>6.4</v>
      </c>
      <c r="J126" s="12">
        <v>0.52100000000000002</v>
      </c>
      <c r="K126" s="11">
        <v>2.62</v>
      </c>
      <c r="L126" s="10">
        <v>96</v>
      </c>
      <c r="M126" s="10">
        <v>166</v>
      </c>
      <c r="N126" s="10">
        <f>IF(G126&lt;=Cutoffs!$B$4,4,IF(G126&lt;=Cutoffs!$C$4,3,IF(G126&lt;=Cutoffs!$D$4,2,1)))</f>
        <v>1</v>
      </c>
      <c r="O126" s="10">
        <f>IF(F126&gt;=Cutoffs!$D$5,4,IF(F126&gt;=Cutoffs!$C$5,3,IF(F126&gt;=Cutoffs!$B$5,2,1)))</f>
        <v>3</v>
      </c>
      <c r="P126" s="10">
        <f>IF(H126&gt;=Cutoffs!$D$6,4,IF(H126&gt;=Cutoffs!$C$6,3,IF(H126&gt;=Cutoffs!$B$6,2,1)))</f>
        <v>4</v>
      </c>
      <c r="Q126" s="10">
        <f t="shared" si="2"/>
        <v>8</v>
      </c>
      <c r="R126" s="10" t="str">
        <f t="shared" si="3"/>
        <v>At risk</v>
      </c>
    </row>
    <row r="127" spans="1:18" x14ac:dyDescent="0.55000000000000004">
      <c r="A127" s="10" t="s">
        <v>167</v>
      </c>
      <c r="B127" s="10" t="s">
        <v>58</v>
      </c>
      <c r="C127" s="10" t="s">
        <v>31</v>
      </c>
      <c r="D127" s="10" t="s">
        <v>39</v>
      </c>
      <c r="E127" s="10">
        <v>0</v>
      </c>
      <c r="F127" s="10">
        <v>30</v>
      </c>
      <c r="G127" s="10">
        <v>10</v>
      </c>
      <c r="H127" s="10">
        <v>4</v>
      </c>
      <c r="I127" s="11">
        <v>2.73</v>
      </c>
      <c r="J127" s="12">
        <v>0.5</v>
      </c>
      <c r="K127" s="11">
        <v>2.0699999999999998</v>
      </c>
      <c r="L127" s="10">
        <v>8</v>
      </c>
      <c r="M127" s="10">
        <v>358</v>
      </c>
      <c r="N127" s="10">
        <f>IF(G127&lt;=Cutoffs!$B$4,4,IF(G127&lt;=Cutoffs!$C$4,3,IF(G127&lt;=Cutoffs!$D$4,2,1)))</f>
        <v>2</v>
      </c>
      <c r="O127" s="10">
        <f>IF(F127&gt;=Cutoffs!$D$5,4,IF(F127&gt;=Cutoffs!$C$5,3,IF(F127&gt;=Cutoffs!$B$5,2,1)))</f>
        <v>1</v>
      </c>
      <c r="P127" s="10">
        <f>IF(H127&gt;=Cutoffs!$D$6,4,IF(H127&gt;=Cutoffs!$C$6,3,IF(H127&gt;=Cutoffs!$B$6,2,1)))</f>
        <v>1</v>
      </c>
      <c r="Q127" s="10">
        <f t="shared" si="2"/>
        <v>4</v>
      </c>
      <c r="R127" s="10" t="str">
        <f t="shared" si="3"/>
        <v>Cooling</v>
      </c>
    </row>
    <row r="128" spans="1:18" x14ac:dyDescent="0.55000000000000004">
      <c r="A128" s="10" t="s">
        <v>168</v>
      </c>
      <c r="B128" s="10" t="s">
        <v>47</v>
      </c>
      <c r="C128" s="10" t="s">
        <v>35</v>
      </c>
      <c r="D128" s="10" t="s">
        <v>32</v>
      </c>
      <c r="E128" s="10">
        <v>1</v>
      </c>
      <c r="F128" s="10">
        <v>197</v>
      </c>
      <c r="G128" s="10">
        <v>22</v>
      </c>
      <c r="H128" s="10">
        <v>36</v>
      </c>
      <c r="I128" s="11">
        <v>4.0999999999999996</v>
      </c>
      <c r="J128" s="12">
        <v>0.51300000000000001</v>
      </c>
      <c r="K128" s="11">
        <v>4.63</v>
      </c>
      <c r="L128" s="10">
        <v>-51</v>
      </c>
      <c r="M128" s="10">
        <v>367</v>
      </c>
      <c r="N128" s="10">
        <f>IF(G128&lt;=Cutoffs!$B$4,4,IF(G128&lt;=Cutoffs!$C$4,3,IF(G128&lt;=Cutoffs!$D$4,2,1)))</f>
        <v>1</v>
      </c>
      <c r="O128" s="10">
        <f>IF(F128&gt;=Cutoffs!$D$5,4,IF(F128&gt;=Cutoffs!$C$5,3,IF(F128&gt;=Cutoffs!$B$5,2,1)))</f>
        <v>4</v>
      </c>
      <c r="P128" s="10">
        <f>IF(H128&gt;=Cutoffs!$D$6,4,IF(H128&gt;=Cutoffs!$C$6,3,IF(H128&gt;=Cutoffs!$B$6,2,1)))</f>
        <v>4</v>
      </c>
      <c r="Q128" s="10">
        <f t="shared" si="2"/>
        <v>9</v>
      </c>
      <c r="R128" s="10" t="str">
        <f t="shared" si="3"/>
        <v>At risk</v>
      </c>
    </row>
    <row r="129" spans="1:18" x14ac:dyDescent="0.55000000000000004">
      <c r="A129" s="10" t="s">
        <v>169</v>
      </c>
      <c r="B129" s="10" t="s">
        <v>30</v>
      </c>
      <c r="C129" s="10" t="s">
        <v>31</v>
      </c>
      <c r="D129" s="10" t="s">
        <v>39</v>
      </c>
      <c r="E129" s="10">
        <v>0</v>
      </c>
      <c r="F129" s="10">
        <v>195</v>
      </c>
      <c r="G129" s="10">
        <v>0</v>
      </c>
      <c r="H129" s="10">
        <v>23</v>
      </c>
      <c r="I129" s="11">
        <v>8.1199999999999992</v>
      </c>
      <c r="J129" s="12">
        <v>0.503</v>
      </c>
      <c r="K129" s="11">
        <v>3.88</v>
      </c>
      <c r="L129" s="10">
        <v>195</v>
      </c>
      <c r="M129" s="10">
        <v>239</v>
      </c>
      <c r="N129" s="10">
        <f>IF(G129&lt;=Cutoffs!$B$4,4,IF(G129&lt;=Cutoffs!$C$4,3,IF(G129&lt;=Cutoffs!$D$4,2,1)))</f>
        <v>4</v>
      </c>
      <c r="O129" s="10">
        <f>IF(F129&gt;=Cutoffs!$D$5,4,IF(F129&gt;=Cutoffs!$C$5,3,IF(F129&gt;=Cutoffs!$B$5,2,1)))</f>
        <v>4</v>
      </c>
      <c r="P129" s="10">
        <f>IF(H129&gt;=Cutoffs!$D$6,4,IF(H129&gt;=Cutoffs!$C$6,3,IF(H129&gt;=Cutoffs!$B$6,2,1)))</f>
        <v>3</v>
      </c>
      <c r="Q129" s="10">
        <f t="shared" si="2"/>
        <v>11</v>
      </c>
      <c r="R129" s="10" t="str">
        <f t="shared" si="3"/>
        <v>Champions</v>
      </c>
    </row>
    <row r="130" spans="1:18" x14ac:dyDescent="0.55000000000000004">
      <c r="A130" s="10" t="s">
        <v>170</v>
      </c>
      <c r="B130" s="10" t="s">
        <v>58</v>
      </c>
      <c r="C130" s="10" t="s">
        <v>31</v>
      </c>
      <c r="D130" s="10" t="s">
        <v>44</v>
      </c>
      <c r="E130" s="10">
        <v>0</v>
      </c>
      <c r="F130" s="10">
        <v>190</v>
      </c>
      <c r="G130" s="10">
        <v>4</v>
      </c>
      <c r="H130" s="10">
        <v>61</v>
      </c>
      <c r="I130" s="11">
        <v>4.22</v>
      </c>
      <c r="J130" s="12">
        <v>0.47899999999999998</v>
      </c>
      <c r="K130" s="11">
        <v>1.42</v>
      </c>
      <c r="L130" s="10">
        <v>186</v>
      </c>
      <c r="M130" s="10">
        <v>160</v>
      </c>
      <c r="N130" s="10">
        <f>IF(G130&lt;=Cutoffs!$B$4,4,IF(G130&lt;=Cutoffs!$C$4,3,IF(G130&lt;=Cutoffs!$D$4,2,1)))</f>
        <v>3</v>
      </c>
      <c r="O130" s="10">
        <f>IF(F130&gt;=Cutoffs!$D$5,4,IF(F130&gt;=Cutoffs!$C$5,3,IF(F130&gt;=Cutoffs!$B$5,2,1)))</f>
        <v>4</v>
      </c>
      <c r="P130" s="10">
        <f>IF(H130&gt;=Cutoffs!$D$6,4,IF(H130&gt;=Cutoffs!$C$6,3,IF(H130&gt;=Cutoffs!$B$6,2,1)))</f>
        <v>4</v>
      </c>
      <c r="Q130" s="10">
        <f t="shared" ref="Q130:Q193" si="4">N130+O130+P130</f>
        <v>11</v>
      </c>
      <c r="R130" s="10" t="str">
        <f t="shared" ref="R130:R193" si="5">IF(AND(N130&gt;=3,O130&gt;=3),"Champions",IF(N130&gt;=3,"Promising",IF(AND(O130&gt;=3,N130&lt;=2),"At risk",IF(N130=2,"Cooling","Dormant"))))</f>
        <v>Champions</v>
      </c>
    </row>
    <row r="131" spans="1:18" x14ac:dyDescent="0.55000000000000004">
      <c r="A131" s="10" t="s">
        <v>171</v>
      </c>
      <c r="B131" s="10" t="s">
        <v>34</v>
      </c>
      <c r="C131" s="10" t="s">
        <v>35</v>
      </c>
      <c r="D131" s="10" t="s">
        <v>36</v>
      </c>
      <c r="E131" s="10">
        <v>0</v>
      </c>
      <c r="F131" s="10">
        <v>51</v>
      </c>
      <c r="G131" s="10">
        <v>2</v>
      </c>
      <c r="H131" s="10">
        <v>13</v>
      </c>
      <c r="I131" s="11">
        <v>2.04</v>
      </c>
      <c r="J131" s="12">
        <v>0.51</v>
      </c>
      <c r="K131" s="11">
        <v>1.75</v>
      </c>
      <c r="L131" s="10">
        <v>-31</v>
      </c>
      <c r="M131" s="10">
        <v>325</v>
      </c>
      <c r="N131" s="10">
        <f>IF(G131&lt;=Cutoffs!$B$4,4,IF(G131&lt;=Cutoffs!$C$4,3,IF(G131&lt;=Cutoffs!$D$4,2,1)))</f>
        <v>3</v>
      </c>
      <c r="O131" s="10">
        <f>IF(F131&gt;=Cutoffs!$D$5,4,IF(F131&gt;=Cutoffs!$C$5,3,IF(F131&gt;=Cutoffs!$B$5,2,1)))</f>
        <v>1</v>
      </c>
      <c r="P131" s="10">
        <f>IF(H131&gt;=Cutoffs!$D$6,4,IF(H131&gt;=Cutoffs!$C$6,3,IF(H131&gt;=Cutoffs!$B$6,2,1)))</f>
        <v>2</v>
      </c>
      <c r="Q131" s="10">
        <f t="shared" si="4"/>
        <v>6</v>
      </c>
      <c r="R131" s="10" t="str">
        <f t="shared" si="5"/>
        <v>Promising</v>
      </c>
    </row>
    <row r="132" spans="1:18" x14ac:dyDescent="0.55000000000000004">
      <c r="A132" s="10" t="s">
        <v>172</v>
      </c>
      <c r="B132" s="10" t="s">
        <v>38</v>
      </c>
      <c r="C132" s="10" t="s">
        <v>35</v>
      </c>
      <c r="D132" s="10" t="s">
        <v>39</v>
      </c>
      <c r="E132" s="10">
        <v>0</v>
      </c>
      <c r="F132" s="10">
        <v>43</v>
      </c>
      <c r="G132" s="10">
        <v>1</v>
      </c>
      <c r="H132" s="10">
        <v>21</v>
      </c>
      <c r="I132" s="11">
        <v>2.39</v>
      </c>
      <c r="J132" s="12">
        <v>0.65100000000000002</v>
      </c>
      <c r="K132" s="11">
        <v>3.59</v>
      </c>
      <c r="L132" s="10">
        <v>13</v>
      </c>
      <c r="M132" s="10">
        <v>54</v>
      </c>
      <c r="N132" s="10">
        <f>IF(G132&lt;=Cutoffs!$B$4,4,IF(G132&lt;=Cutoffs!$C$4,3,IF(G132&lt;=Cutoffs!$D$4,2,1)))</f>
        <v>4</v>
      </c>
      <c r="O132" s="10">
        <f>IF(F132&gt;=Cutoffs!$D$5,4,IF(F132&gt;=Cutoffs!$C$5,3,IF(F132&gt;=Cutoffs!$B$5,2,1)))</f>
        <v>1</v>
      </c>
      <c r="P132" s="10">
        <f>IF(H132&gt;=Cutoffs!$D$6,4,IF(H132&gt;=Cutoffs!$C$6,3,IF(H132&gt;=Cutoffs!$B$6,2,1)))</f>
        <v>3</v>
      </c>
      <c r="Q132" s="10">
        <f t="shared" si="4"/>
        <v>8</v>
      </c>
      <c r="R132" s="10" t="str">
        <f t="shared" si="5"/>
        <v>Promising</v>
      </c>
    </row>
    <row r="133" spans="1:18" x14ac:dyDescent="0.55000000000000004">
      <c r="A133" s="10" t="s">
        <v>173</v>
      </c>
      <c r="B133" s="10" t="s">
        <v>47</v>
      </c>
      <c r="C133" s="10" t="s">
        <v>35</v>
      </c>
      <c r="D133" s="10" t="s">
        <v>39</v>
      </c>
      <c r="E133" s="10">
        <v>1</v>
      </c>
      <c r="F133" s="10">
        <v>165</v>
      </c>
      <c r="G133" s="10">
        <v>46</v>
      </c>
      <c r="H133" s="10">
        <v>27</v>
      </c>
      <c r="I133" s="11">
        <v>5</v>
      </c>
      <c r="J133" s="12">
        <v>0.49099999999999999</v>
      </c>
      <c r="K133" s="11">
        <v>2.81</v>
      </c>
      <c r="L133" s="10">
        <v>-77</v>
      </c>
      <c r="M133" s="10">
        <v>489</v>
      </c>
      <c r="N133" s="10">
        <f>IF(G133&lt;=Cutoffs!$B$4,4,IF(G133&lt;=Cutoffs!$C$4,3,IF(G133&lt;=Cutoffs!$D$4,2,1)))</f>
        <v>1</v>
      </c>
      <c r="O133" s="10">
        <f>IF(F133&gt;=Cutoffs!$D$5,4,IF(F133&gt;=Cutoffs!$C$5,3,IF(F133&gt;=Cutoffs!$B$5,2,1)))</f>
        <v>4</v>
      </c>
      <c r="P133" s="10">
        <f>IF(H133&gt;=Cutoffs!$D$6,4,IF(H133&gt;=Cutoffs!$C$6,3,IF(H133&gt;=Cutoffs!$B$6,2,1)))</f>
        <v>3</v>
      </c>
      <c r="Q133" s="10">
        <f t="shared" si="4"/>
        <v>8</v>
      </c>
      <c r="R133" s="10" t="str">
        <f t="shared" si="5"/>
        <v>At risk</v>
      </c>
    </row>
    <row r="134" spans="1:18" x14ac:dyDescent="0.55000000000000004">
      <c r="A134" s="10" t="s">
        <v>174</v>
      </c>
      <c r="B134" s="10" t="s">
        <v>47</v>
      </c>
      <c r="C134" s="10" t="s">
        <v>35</v>
      </c>
      <c r="D134" s="10" t="s">
        <v>32</v>
      </c>
      <c r="E134" s="10">
        <v>0</v>
      </c>
      <c r="F134" s="10">
        <v>134</v>
      </c>
      <c r="G134" s="10">
        <v>2</v>
      </c>
      <c r="H134" s="10">
        <v>25</v>
      </c>
      <c r="I134" s="11">
        <v>5.83</v>
      </c>
      <c r="J134" s="12">
        <v>0.5</v>
      </c>
      <c r="K134" s="11">
        <v>3.76</v>
      </c>
      <c r="L134" s="10">
        <v>-18</v>
      </c>
      <c r="M134" s="10">
        <v>104</v>
      </c>
      <c r="N134" s="10">
        <f>IF(G134&lt;=Cutoffs!$B$4,4,IF(G134&lt;=Cutoffs!$C$4,3,IF(G134&lt;=Cutoffs!$D$4,2,1)))</f>
        <v>3</v>
      </c>
      <c r="O134" s="10">
        <f>IF(F134&gt;=Cutoffs!$D$5,4,IF(F134&gt;=Cutoffs!$C$5,3,IF(F134&gt;=Cutoffs!$B$5,2,1)))</f>
        <v>3</v>
      </c>
      <c r="P134" s="10">
        <f>IF(H134&gt;=Cutoffs!$D$6,4,IF(H134&gt;=Cutoffs!$C$6,3,IF(H134&gt;=Cutoffs!$B$6,2,1)))</f>
        <v>3</v>
      </c>
      <c r="Q134" s="10">
        <f t="shared" si="4"/>
        <v>9</v>
      </c>
      <c r="R134" s="10" t="str">
        <f t="shared" si="5"/>
        <v>Champions</v>
      </c>
    </row>
    <row r="135" spans="1:18" x14ac:dyDescent="0.55000000000000004">
      <c r="A135" s="10" t="s">
        <v>175</v>
      </c>
      <c r="B135" s="10" t="s">
        <v>47</v>
      </c>
      <c r="C135" s="10" t="s">
        <v>35</v>
      </c>
      <c r="D135" s="10" t="s">
        <v>41</v>
      </c>
      <c r="E135" s="10">
        <v>1</v>
      </c>
      <c r="F135" s="10">
        <v>107</v>
      </c>
      <c r="G135" s="10">
        <v>71</v>
      </c>
      <c r="H135" s="10">
        <v>12</v>
      </c>
      <c r="I135" s="11">
        <v>4.6500000000000004</v>
      </c>
      <c r="J135" s="12">
        <v>0.505</v>
      </c>
      <c r="K135" s="11">
        <v>5</v>
      </c>
      <c r="L135" s="10">
        <v>-107</v>
      </c>
      <c r="M135" s="10">
        <v>881</v>
      </c>
      <c r="N135" s="10">
        <f>IF(G135&lt;=Cutoffs!$B$4,4,IF(G135&lt;=Cutoffs!$C$4,3,IF(G135&lt;=Cutoffs!$D$4,2,1)))</f>
        <v>1</v>
      </c>
      <c r="O135" s="10">
        <f>IF(F135&gt;=Cutoffs!$D$5,4,IF(F135&gt;=Cutoffs!$C$5,3,IF(F135&gt;=Cutoffs!$B$5,2,1)))</f>
        <v>3</v>
      </c>
      <c r="P135" s="10">
        <f>IF(H135&gt;=Cutoffs!$D$6,4,IF(H135&gt;=Cutoffs!$C$6,3,IF(H135&gt;=Cutoffs!$B$6,2,1)))</f>
        <v>2</v>
      </c>
      <c r="Q135" s="10">
        <f t="shared" si="4"/>
        <v>6</v>
      </c>
      <c r="R135" s="10" t="str">
        <f t="shared" si="5"/>
        <v>At risk</v>
      </c>
    </row>
    <row r="136" spans="1:18" x14ac:dyDescent="0.55000000000000004">
      <c r="A136" s="10" t="s">
        <v>176</v>
      </c>
      <c r="B136" s="10" t="s">
        <v>47</v>
      </c>
      <c r="C136" s="10" t="s">
        <v>35</v>
      </c>
      <c r="D136" s="10" t="s">
        <v>36</v>
      </c>
      <c r="E136" s="10">
        <v>1</v>
      </c>
      <c r="F136" s="10">
        <v>109</v>
      </c>
      <c r="G136" s="10">
        <v>57</v>
      </c>
      <c r="H136" s="10">
        <v>19</v>
      </c>
      <c r="I136" s="11">
        <v>4.95</v>
      </c>
      <c r="J136" s="12">
        <v>0.48599999999999999</v>
      </c>
      <c r="K136" s="11">
        <v>3.43</v>
      </c>
      <c r="L136" s="10">
        <v>-73</v>
      </c>
      <c r="M136" s="10">
        <v>794</v>
      </c>
      <c r="N136" s="10">
        <f>IF(G136&lt;=Cutoffs!$B$4,4,IF(G136&lt;=Cutoffs!$C$4,3,IF(G136&lt;=Cutoffs!$D$4,2,1)))</f>
        <v>1</v>
      </c>
      <c r="O136" s="10">
        <f>IF(F136&gt;=Cutoffs!$D$5,4,IF(F136&gt;=Cutoffs!$C$5,3,IF(F136&gt;=Cutoffs!$B$5,2,1)))</f>
        <v>3</v>
      </c>
      <c r="P136" s="10">
        <f>IF(H136&gt;=Cutoffs!$D$6,4,IF(H136&gt;=Cutoffs!$C$6,3,IF(H136&gt;=Cutoffs!$B$6,2,1)))</f>
        <v>2</v>
      </c>
      <c r="Q136" s="10">
        <f t="shared" si="4"/>
        <v>6</v>
      </c>
      <c r="R136" s="10" t="str">
        <f t="shared" si="5"/>
        <v>At risk</v>
      </c>
    </row>
    <row r="137" spans="1:18" x14ac:dyDescent="0.55000000000000004">
      <c r="A137" s="10" t="s">
        <v>177</v>
      </c>
      <c r="B137" s="10" t="s">
        <v>34</v>
      </c>
      <c r="C137" s="10" t="s">
        <v>35</v>
      </c>
      <c r="D137" s="10" t="s">
        <v>44</v>
      </c>
      <c r="E137" s="10">
        <v>0</v>
      </c>
      <c r="F137" s="10">
        <v>93</v>
      </c>
      <c r="G137" s="10">
        <v>50</v>
      </c>
      <c r="H137" s="10">
        <v>10</v>
      </c>
      <c r="I137" s="11">
        <v>3.72</v>
      </c>
      <c r="J137" s="12">
        <v>0.56999999999999995</v>
      </c>
      <c r="K137" s="11">
        <v>2.97</v>
      </c>
      <c r="L137" s="10">
        <v>-37</v>
      </c>
      <c r="M137" s="10">
        <v>1148</v>
      </c>
      <c r="N137" s="10">
        <f>IF(G137&lt;=Cutoffs!$B$4,4,IF(G137&lt;=Cutoffs!$C$4,3,IF(G137&lt;=Cutoffs!$D$4,2,1)))</f>
        <v>1</v>
      </c>
      <c r="O137" s="10">
        <f>IF(F137&gt;=Cutoffs!$D$5,4,IF(F137&gt;=Cutoffs!$C$5,3,IF(F137&gt;=Cutoffs!$B$5,2,1)))</f>
        <v>2</v>
      </c>
      <c r="P137" s="10">
        <f>IF(H137&gt;=Cutoffs!$D$6,4,IF(H137&gt;=Cutoffs!$C$6,3,IF(H137&gt;=Cutoffs!$B$6,2,1)))</f>
        <v>1</v>
      </c>
      <c r="Q137" s="10">
        <f t="shared" si="4"/>
        <v>4</v>
      </c>
      <c r="R137" s="10" t="str">
        <f t="shared" si="5"/>
        <v>Dormant</v>
      </c>
    </row>
    <row r="138" spans="1:18" x14ac:dyDescent="0.55000000000000004">
      <c r="A138" s="10" t="s">
        <v>178</v>
      </c>
      <c r="B138" s="10" t="s">
        <v>38</v>
      </c>
      <c r="C138" s="10" t="s">
        <v>35</v>
      </c>
      <c r="D138" s="10" t="s">
        <v>41</v>
      </c>
      <c r="E138" s="10">
        <v>0</v>
      </c>
      <c r="F138" s="10">
        <v>195</v>
      </c>
      <c r="G138" s="10">
        <v>2</v>
      </c>
      <c r="H138" s="10">
        <v>35</v>
      </c>
      <c r="I138" s="11">
        <v>2.75</v>
      </c>
      <c r="J138" s="12">
        <v>0.44600000000000001</v>
      </c>
      <c r="K138" s="11">
        <v>3.29</v>
      </c>
      <c r="L138" s="10">
        <v>-29</v>
      </c>
      <c r="M138" s="10">
        <v>850</v>
      </c>
      <c r="N138" s="10">
        <f>IF(G138&lt;=Cutoffs!$B$4,4,IF(G138&lt;=Cutoffs!$C$4,3,IF(G138&lt;=Cutoffs!$D$4,2,1)))</f>
        <v>3</v>
      </c>
      <c r="O138" s="10">
        <f>IF(F138&gt;=Cutoffs!$D$5,4,IF(F138&gt;=Cutoffs!$C$5,3,IF(F138&gt;=Cutoffs!$B$5,2,1)))</f>
        <v>4</v>
      </c>
      <c r="P138" s="10">
        <f>IF(H138&gt;=Cutoffs!$D$6,4,IF(H138&gt;=Cutoffs!$C$6,3,IF(H138&gt;=Cutoffs!$B$6,2,1)))</f>
        <v>4</v>
      </c>
      <c r="Q138" s="10">
        <f t="shared" si="4"/>
        <v>11</v>
      </c>
      <c r="R138" s="10" t="str">
        <f t="shared" si="5"/>
        <v>Champions</v>
      </c>
    </row>
    <row r="139" spans="1:18" x14ac:dyDescent="0.55000000000000004">
      <c r="A139" s="10" t="s">
        <v>179</v>
      </c>
      <c r="B139" s="10" t="s">
        <v>34</v>
      </c>
      <c r="C139" s="10" t="s">
        <v>35</v>
      </c>
      <c r="D139" s="10" t="s">
        <v>39</v>
      </c>
      <c r="E139" s="10">
        <v>0</v>
      </c>
      <c r="F139" s="10">
        <v>110</v>
      </c>
      <c r="G139" s="10">
        <v>1</v>
      </c>
      <c r="H139" s="10">
        <v>21</v>
      </c>
      <c r="I139" s="11">
        <v>1.69</v>
      </c>
      <c r="J139" s="12">
        <v>0.46400000000000002</v>
      </c>
      <c r="K139" s="11">
        <v>3.14</v>
      </c>
      <c r="L139" s="10">
        <v>26</v>
      </c>
      <c r="M139" s="10">
        <v>641</v>
      </c>
      <c r="N139" s="10">
        <f>IF(G139&lt;=Cutoffs!$B$4,4,IF(G139&lt;=Cutoffs!$C$4,3,IF(G139&lt;=Cutoffs!$D$4,2,1)))</f>
        <v>4</v>
      </c>
      <c r="O139" s="10">
        <f>IF(F139&gt;=Cutoffs!$D$5,4,IF(F139&gt;=Cutoffs!$C$5,3,IF(F139&gt;=Cutoffs!$B$5,2,1)))</f>
        <v>3</v>
      </c>
      <c r="P139" s="10">
        <f>IF(H139&gt;=Cutoffs!$D$6,4,IF(H139&gt;=Cutoffs!$C$6,3,IF(H139&gt;=Cutoffs!$B$6,2,1)))</f>
        <v>3</v>
      </c>
      <c r="Q139" s="10">
        <f t="shared" si="4"/>
        <v>10</v>
      </c>
      <c r="R139" s="10" t="str">
        <f t="shared" si="5"/>
        <v>Champions</v>
      </c>
    </row>
    <row r="140" spans="1:18" x14ac:dyDescent="0.55000000000000004">
      <c r="A140" s="10" t="s">
        <v>180</v>
      </c>
      <c r="B140" s="10" t="s">
        <v>34</v>
      </c>
      <c r="C140" s="10" t="s">
        <v>35</v>
      </c>
      <c r="D140" s="10" t="s">
        <v>41</v>
      </c>
      <c r="E140" s="10">
        <v>1</v>
      </c>
      <c r="F140" s="10">
        <v>39</v>
      </c>
      <c r="G140" s="10">
        <v>28</v>
      </c>
      <c r="H140" s="10">
        <v>4</v>
      </c>
      <c r="I140" s="11">
        <v>3.9</v>
      </c>
      <c r="J140" s="12">
        <v>0.53800000000000003</v>
      </c>
      <c r="K140" s="11">
        <v>5.0599999999999996</v>
      </c>
      <c r="L140" s="10">
        <v>39</v>
      </c>
      <c r="M140" s="10">
        <v>579</v>
      </c>
      <c r="N140" s="10">
        <f>IF(G140&lt;=Cutoffs!$B$4,4,IF(G140&lt;=Cutoffs!$C$4,3,IF(G140&lt;=Cutoffs!$D$4,2,1)))</f>
        <v>1</v>
      </c>
      <c r="O140" s="10">
        <f>IF(F140&gt;=Cutoffs!$D$5,4,IF(F140&gt;=Cutoffs!$C$5,3,IF(F140&gt;=Cutoffs!$B$5,2,1)))</f>
        <v>1</v>
      </c>
      <c r="P140" s="10">
        <f>IF(H140&gt;=Cutoffs!$D$6,4,IF(H140&gt;=Cutoffs!$C$6,3,IF(H140&gt;=Cutoffs!$B$6,2,1)))</f>
        <v>1</v>
      </c>
      <c r="Q140" s="10">
        <f t="shared" si="4"/>
        <v>3</v>
      </c>
      <c r="R140" s="10" t="str">
        <f t="shared" si="5"/>
        <v>Dormant</v>
      </c>
    </row>
    <row r="141" spans="1:18" x14ac:dyDescent="0.55000000000000004">
      <c r="A141" s="10" t="s">
        <v>181</v>
      </c>
      <c r="B141" s="10" t="s">
        <v>30</v>
      </c>
      <c r="C141" s="10" t="s">
        <v>31</v>
      </c>
      <c r="D141" s="10" t="s">
        <v>41</v>
      </c>
      <c r="E141" s="10">
        <v>0</v>
      </c>
      <c r="F141" s="10">
        <v>60</v>
      </c>
      <c r="G141" s="10">
        <v>1</v>
      </c>
      <c r="H141" s="10">
        <v>13</v>
      </c>
      <c r="I141" s="11">
        <v>2.2200000000000002</v>
      </c>
      <c r="J141" s="12">
        <v>0.53300000000000003</v>
      </c>
      <c r="K141" s="11">
        <v>4.04</v>
      </c>
      <c r="L141" s="10">
        <v>14</v>
      </c>
      <c r="M141" s="10">
        <v>704</v>
      </c>
      <c r="N141" s="10">
        <f>IF(G141&lt;=Cutoffs!$B$4,4,IF(G141&lt;=Cutoffs!$C$4,3,IF(G141&lt;=Cutoffs!$D$4,2,1)))</f>
        <v>4</v>
      </c>
      <c r="O141" s="10">
        <f>IF(F141&gt;=Cutoffs!$D$5,4,IF(F141&gt;=Cutoffs!$C$5,3,IF(F141&gt;=Cutoffs!$B$5,2,1)))</f>
        <v>2</v>
      </c>
      <c r="P141" s="10">
        <f>IF(H141&gt;=Cutoffs!$D$6,4,IF(H141&gt;=Cutoffs!$C$6,3,IF(H141&gt;=Cutoffs!$B$6,2,1)))</f>
        <v>2</v>
      </c>
      <c r="Q141" s="10">
        <f t="shared" si="4"/>
        <v>8</v>
      </c>
      <c r="R141" s="10" t="str">
        <f t="shared" si="5"/>
        <v>Promising</v>
      </c>
    </row>
    <row r="142" spans="1:18" x14ac:dyDescent="0.55000000000000004">
      <c r="A142" s="10" t="s">
        <v>182</v>
      </c>
      <c r="B142" s="10" t="s">
        <v>38</v>
      </c>
      <c r="C142" s="10" t="s">
        <v>35</v>
      </c>
      <c r="D142" s="10" t="s">
        <v>36</v>
      </c>
      <c r="E142" s="10">
        <v>0</v>
      </c>
      <c r="F142" s="10">
        <v>199</v>
      </c>
      <c r="G142" s="10">
        <v>8</v>
      </c>
      <c r="H142" s="10">
        <v>36</v>
      </c>
      <c r="I142" s="11">
        <v>6.42</v>
      </c>
      <c r="J142" s="12">
        <v>0.442</v>
      </c>
      <c r="K142" s="11">
        <v>3.16</v>
      </c>
      <c r="L142" s="10">
        <v>199</v>
      </c>
      <c r="M142" s="10">
        <v>280</v>
      </c>
      <c r="N142" s="10">
        <f>IF(G142&lt;=Cutoffs!$B$4,4,IF(G142&lt;=Cutoffs!$C$4,3,IF(G142&lt;=Cutoffs!$D$4,2,1)))</f>
        <v>2</v>
      </c>
      <c r="O142" s="10">
        <f>IF(F142&gt;=Cutoffs!$D$5,4,IF(F142&gt;=Cutoffs!$C$5,3,IF(F142&gt;=Cutoffs!$B$5,2,1)))</f>
        <v>4</v>
      </c>
      <c r="P142" s="10">
        <f>IF(H142&gt;=Cutoffs!$D$6,4,IF(H142&gt;=Cutoffs!$C$6,3,IF(H142&gt;=Cutoffs!$B$6,2,1)))</f>
        <v>4</v>
      </c>
      <c r="Q142" s="10">
        <f t="shared" si="4"/>
        <v>10</v>
      </c>
      <c r="R142" s="10" t="str">
        <f t="shared" si="5"/>
        <v>At risk</v>
      </c>
    </row>
    <row r="143" spans="1:18" x14ac:dyDescent="0.55000000000000004">
      <c r="A143" s="10" t="s">
        <v>183</v>
      </c>
      <c r="B143" s="10" t="s">
        <v>30</v>
      </c>
      <c r="C143" s="10" t="s">
        <v>31</v>
      </c>
      <c r="D143" s="10" t="s">
        <v>44</v>
      </c>
      <c r="E143" s="10">
        <v>0</v>
      </c>
      <c r="F143" s="10">
        <v>72</v>
      </c>
      <c r="G143" s="10">
        <v>23</v>
      </c>
      <c r="H143" s="10">
        <v>19</v>
      </c>
      <c r="I143" s="11">
        <v>3.13</v>
      </c>
      <c r="J143" s="12">
        <v>0.47199999999999998</v>
      </c>
      <c r="K143" s="11">
        <v>3.9</v>
      </c>
      <c r="L143" s="10">
        <v>48</v>
      </c>
      <c r="M143" s="10">
        <v>561</v>
      </c>
      <c r="N143" s="10">
        <f>IF(G143&lt;=Cutoffs!$B$4,4,IF(G143&lt;=Cutoffs!$C$4,3,IF(G143&lt;=Cutoffs!$D$4,2,1)))</f>
        <v>1</v>
      </c>
      <c r="O143" s="10">
        <f>IF(F143&gt;=Cutoffs!$D$5,4,IF(F143&gt;=Cutoffs!$C$5,3,IF(F143&gt;=Cutoffs!$B$5,2,1)))</f>
        <v>2</v>
      </c>
      <c r="P143" s="10">
        <f>IF(H143&gt;=Cutoffs!$D$6,4,IF(H143&gt;=Cutoffs!$C$6,3,IF(H143&gt;=Cutoffs!$B$6,2,1)))</f>
        <v>2</v>
      </c>
      <c r="Q143" s="10">
        <f t="shared" si="4"/>
        <v>5</v>
      </c>
      <c r="R143" s="10" t="str">
        <f t="shared" si="5"/>
        <v>Dormant</v>
      </c>
    </row>
    <row r="144" spans="1:18" x14ac:dyDescent="0.55000000000000004">
      <c r="A144" s="10" t="s">
        <v>184</v>
      </c>
      <c r="B144" s="10" t="s">
        <v>47</v>
      </c>
      <c r="C144" s="10" t="s">
        <v>35</v>
      </c>
      <c r="D144" s="10" t="s">
        <v>44</v>
      </c>
      <c r="E144" s="10">
        <v>0</v>
      </c>
      <c r="F144" s="10">
        <v>204</v>
      </c>
      <c r="G144" s="10">
        <v>1</v>
      </c>
      <c r="H144" s="10">
        <v>33</v>
      </c>
      <c r="I144" s="11">
        <v>4.08</v>
      </c>
      <c r="J144" s="12">
        <v>0.51500000000000001</v>
      </c>
      <c r="K144" s="11">
        <v>3.24</v>
      </c>
      <c r="L144" s="10">
        <v>-92</v>
      </c>
      <c r="M144" s="10">
        <v>1070</v>
      </c>
      <c r="N144" s="10">
        <f>IF(G144&lt;=Cutoffs!$B$4,4,IF(G144&lt;=Cutoffs!$C$4,3,IF(G144&lt;=Cutoffs!$D$4,2,1)))</f>
        <v>4</v>
      </c>
      <c r="O144" s="10">
        <f>IF(F144&gt;=Cutoffs!$D$5,4,IF(F144&gt;=Cutoffs!$C$5,3,IF(F144&gt;=Cutoffs!$B$5,2,1)))</f>
        <v>4</v>
      </c>
      <c r="P144" s="10">
        <f>IF(H144&gt;=Cutoffs!$D$6,4,IF(H144&gt;=Cutoffs!$C$6,3,IF(H144&gt;=Cutoffs!$B$6,2,1)))</f>
        <v>4</v>
      </c>
      <c r="Q144" s="10">
        <f t="shared" si="4"/>
        <v>12</v>
      </c>
      <c r="R144" s="10" t="str">
        <f t="shared" si="5"/>
        <v>Champions</v>
      </c>
    </row>
    <row r="145" spans="1:18" x14ac:dyDescent="0.55000000000000004">
      <c r="A145" s="10" t="s">
        <v>185</v>
      </c>
      <c r="B145" s="10" t="s">
        <v>58</v>
      </c>
      <c r="C145" s="10" t="s">
        <v>31</v>
      </c>
      <c r="D145" s="10" t="s">
        <v>44</v>
      </c>
      <c r="E145" s="10">
        <v>0</v>
      </c>
      <c r="F145" s="10">
        <v>31</v>
      </c>
      <c r="G145" s="10">
        <v>9</v>
      </c>
      <c r="H145" s="10">
        <v>4</v>
      </c>
      <c r="I145" s="11">
        <v>2.21</v>
      </c>
      <c r="J145" s="12">
        <v>0.35499999999999998</v>
      </c>
      <c r="K145" s="11">
        <v>1.4</v>
      </c>
      <c r="L145" s="10">
        <v>-25</v>
      </c>
      <c r="M145" s="10">
        <v>661</v>
      </c>
      <c r="N145" s="10">
        <f>IF(G145&lt;=Cutoffs!$B$4,4,IF(G145&lt;=Cutoffs!$C$4,3,IF(G145&lt;=Cutoffs!$D$4,2,1)))</f>
        <v>2</v>
      </c>
      <c r="O145" s="10">
        <f>IF(F145&gt;=Cutoffs!$D$5,4,IF(F145&gt;=Cutoffs!$C$5,3,IF(F145&gt;=Cutoffs!$B$5,2,1)))</f>
        <v>1</v>
      </c>
      <c r="P145" s="10">
        <f>IF(H145&gt;=Cutoffs!$D$6,4,IF(H145&gt;=Cutoffs!$C$6,3,IF(H145&gt;=Cutoffs!$B$6,2,1)))</f>
        <v>1</v>
      </c>
      <c r="Q145" s="10">
        <f t="shared" si="4"/>
        <v>4</v>
      </c>
      <c r="R145" s="10" t="str">
        <f t="shared" si="5"/>
        <v>Cooling</v>
      </c>
    </row>
    <row r="146" spans="1:18" x14ac:dyDescent="0.55000000000000004">
      <c r="A146" s="10" t="s">
        <v>186</v>
      </c>
      <c r="B146" s="10" t="s">
        <v>38</v>
      </c>
      <c r="C146" s="10" t="s">
        <v>35</v>
      </c>
      <c r="D146" s="10" t="s">
        <v>32</v>
      </c>
      <c r="E146" s="10">
        <v>0</v>
      </c>
      <c r="F146" s="10">
        <v>49</v>
      </c>
      <c r="G146" s="10">
        <v>3</v>
      </c>
      <c r="H146" s="10">
        <v>33</v>
      </c>
      <c r="I146" s="11">
        <v>4.08</v>
      </c>
      <c r="J146" s="12">
        <v>0.51</v>
      </c>
      <c r="K146" s="11">
        <v>3.59</v>
      </c>
      <c r="L146" s="10">
        <v>41</v>
      </c>
      <c r="M146" s="10">
        <v>591</v>
      </c>
      <c r="N146" s="10">
        <f>IF(G146&lt;=Cutoffs!$B$4,4,IF(G146&lt;=Cutoffs!$C$4,3,IF(G146&lt;=Cutoffs!$D$4,2,1)))</f>
        <v>3</v>
      </c>
      <c r="O146" s="10">
        <f>IF(F146&gt;=Cutoffs!$D$5,4,IF(F146&gt;=Cutoffs!$C$5,3,IF(F146&gt;=Cutoffs!$B$5,2,1)))</f>
        <v>1</v>
      </c>
      <c r="P146" s="10">
        <f>IF(H146&gt;=Cutoffs!$D$6,4,IF(H146&gt;=Cutoffs!$C$6,3,IF(H146&gt;=Cutoffs!$B$6,2,1)))</f>
        <v>4</v>
      </c>
      <c r="Q146" s="10">
        <f t="shared" si="4"/>
        <v>8</v>
      </c>
      <c r="R146" s="10" t="str">
        <f t="shared" si="5"/>
        <v>Promising</v>
      </c>
    </row>
    <row r="147" spans="1:18" x14ac:dyDescent="0.55000000000000004">
      <c r="A147" s="10" t="s">
        <v>187</v>
      </c>
      <c r="B147" s="10" t="s">
        <v>38</v>
      </c>
      <c r="C147" s="10" t="s">
        <v>35</v>
      </c>
      <c r="D147" s="10" t="s">
        <v>41</v>
      </c>
      <c r="E147" s="10">
        <v>0</v>
      </c>
      <c r="F147" s="10">
        <v>195</v>
      </c>
      <c r="G147" s="10">
        <v>7</v>
      </c>
      <c r="H147" s="10">
        <v>1</v>
      </c>
      <c r="I147" s="11">
        <v>3</v>
      </c>
      <c r="J147" s="12">
        <v>0.503</v>
      </c>
      <c r="K147" s="11">
        <v>2.27</v>
      </c>
      <c r="L147" s="10">
        <v>83</v>
      </c>
      <c r="M147" s="10">
        <v>808</v>
      </c>
      <c r="N147" s="10">
        <f>IF(G147&lt;=Cutoffs!$B$4,4,IF(G147&lt;=Cutoffs!$C$4,3,IF(G147&lt;=Cutoffs!$D$4,2,1)))</f>
        <v>2</v>
      </c>
      <c r="O147" s="10">
        <f>IF(F147&gt;=Cutoffs!$D$5,4,IF(F147&gt;=Cutoffs!$C$5,3,IF(F147&gt;=Cutoffs!$B$5,2,1)))</f>
        <v>4</v>
      </c>
      <c r="P147" s="10">
        <f>IF(H147&gt;=Cutoffs!$D$6,4,IF(H147&gt;=Cutoffs!$C$6,3,IF(H147&gt;=Cutoffs!$B$6,2,1)))</f>
        <v>1</v>
      </c>
      <c r="Q147" s="10">
        <f t="shared" si="4"/>
        <v>7</v>
      </c>
      <c r="R147" s="10" t="str">
        <f t="shared" si="5"/>
        <v>At risk</v>
      </c>
    </row>
    <row r="148" spans="1:18" x14ac:dyDescent="0.55000000000000004">
      <c r="A148" s="10" t="s">
        <v>188</v>
      </c>
      <c r="B148" s="10" t="s">
        <v>43</v>
      </c>
      <c r="C148" s="10" t="s">
        <v>31</v>
      </c>
      <c r="D148" s="10" t="s">
        <v>39</v>
      </c>
      <c r="E148" s="10">
        <v>0</v>
      </c>
      <c r="F148" s="10">
        <v>101</v>
      </c>
      <c r="G148" s="10">
        <v>3</v>
      </c>
      <c r="H148" s="10">
        <v>37</v>
      </c>
      <c r="I148" s="11">
        <v>2.46</v>
      </c>
      <c r="J148" s="12">
        <v>0.42599999999999999</v>
      </c>
      <c r="K148" s="11">
        <v>2.72</v>
      </c>
      <c r="L148" s="10">
        <v>51</v>
      </c>
      <c r="M148" s="10">
        <v>585</v>
      </c>
      <c r="N148" s="10">
        <f>IF(G148&lt;=Cutoffs!$B$4,4,IF(G148&lt;=Cutoffs!$C$4,3,IF(G148&lt;=Cutoffs!$D$4,2,1)))</f>
        <v>3</v>
      </c>
      <c r="O148" s="10">
        <f>IF(F148&gt;=Cutoffs!$D$5,4,IF(F148&gt;=Cutoffs!$C$5,3,IF(F148&gt;=Cutoffs!$B$5,2,1)))</f>
        <v>3</v>
      </c>
      <c r="P148" s="10">
        <f>IF(H148&gt;=Cutoffs!$D$6,4,IF(H148&gt;=Cutoffs!$C$6,3,IF(H148&gt;=Cutoffs!$B$6,2,1)))</f>
        <v>4</v>
      </c>
      <c r="Q148" s="10">
        <f t="shared" si="4"/>
        <v>10</v>
      </c>
      <c r="R148" s="10" t="str">
        <f t="shared" si="5"/>
        <v>Champions</v>
      </c>
    </row>
    <row r="149" spans="1:18" x14ac:dyDescent="0.55000000000000004">
      <c r="A149" s="10" t="s">
        <v>189</v>
      </c>
      <c r="B149" s="10" t="s">
        <v>43</v>
      </c>
      <c r="C149" s="10" t="s">
        <v>31</v>
      </c>
      <c r="D149" s="10" t="s">
        <v>36</v>
      </c>
      <c r="E149" s="10">
        <v>0</v>
      </c>
      <c r="F149" s="10">
        <v>111</v>
      </c>
      <c r="G149" s="10">
        <v>2</v>
      </c>
      <c r="H149" s="10">
        <v>24</v>
      </c>
      <c r="I149" s="11">
        <v>2.36</v>
      </c>
      <c r="J149" s="12">
        <v>0.47699999999999998</v>
      </c>
      <c r="K149" s="11">
        <v>3.41</v>
      </c>
      <c r="L149" s="10">
        <v>81</v>
      </c>
      <c r="M149" s="10">
        <v>284</v>
      </c>
      <c r="N149" s="10">
        <f>IF(G149&lt;=Cutoffs!$B$4,4,IF(G149&lt;=Cutoffs!$C$4,3,IF(G149&lt;=Cutoffs!$D$4,2,1)))</f>
        <v>3</v>
      </c>
      <c r="O149" s="10">
        <f>IF(F149&gt;=Cutoffs!$D$5,4,IF(F149&gt;=Cutoffs!$C$5,3,IF(F149&gt;=Cutoffs!$B$5,2,1)))</f>
        <v>3</v>
      </c>
      <c r="P149" s="10">
        <f>IF(H149&gt;=Cutoffs!$D$6,4,IF(H149&gt;=Cutoffs!$C$6,3,IF(H149&gt;=Cutoffs!$B$6,2,1)))</f>
        <v>3</v>
      </c>
      <c r="Q149" s="10">
        <f t="shared" si="4"/>
        <v>9</v>
      </c>
      <c r="R149" s="10" t="str">
        <f t="shared" si="5"/>
        <v>Champions</v>
      </c>
    </row>
    <row r="150" spans="1:18" x14ac:dyDescent="0.55000000000000004">
      <c r="A150" s="10" t="s">
        <v>190</v>
      </c>
      <c r="B150" s="10" t="s">
        <v>47</v>
      </c>
      <c r="C150" s="10" t="s">
        <v>35</v>
      </c>
      <c r="D150" s="10" t="s">
        <v>41</v>
      </c>
      <c r="E150" s="10">
        <v>1</v>
      </c>
      <c r="F150" s="10">
        <v>200</v>
      </c>
      <c r="G150" s="10">
        <v>7</v>
      </c>
      <c r="H150" s="10">
        <v>21</v>
      </c>
      <c r="I150" s="11">
        <v>3.57</v>
      </c>
      <c r="J150" s="12">
        <v>0.49</v>
      </c>
      <c r="K150" s="11">
        <v>5.64</v>
      </c>
      <c r="L150" s="10">
        <v>-46</v>
      </c>
      <c r="M150" s="10">
        <v>521</v>
      </c>
      <c r="N150" s="10">
        <f>IF(G150&lt;=Cutoffs!$B$4,4,IF(G150&lt;=Cutoffs!$C$4,3,IF(G150&lt;=Cutoffs!$D$4,2,1)))</f>
        <v>2</v>
      </c>
      <c r="O150" s="10">
        <f>IF(F150&gt;=Cutoffs!$D$5,4,IF(F150&gt;=Cutoffs!$C$5,3,IF(F150&gt;=Cutoffs!$B$5,2,1)))</f>
        <v>4</v>
      </c>
      <c r="P150" s="10">
        <f>IF(H150&gt;=Cutoffs!$D$6,4,IF(H150&gt;=Cutoffs!$C$6,3,IF(H150&gt;=Cutoffs!$B$6,2,1)))</f>
        <v>3</v>
      </c>
      <c r="Q150" s="10">
        <f t="shared" si="4"/>
        <v>9</v>
      </c>
      <c r="R150" s="10" t="str">
        <f t="shared" si="5"/>
        <v>At risk</v>
      </c>
    </row>
    <row r="151" spans="1:18" x14ac:dyDescent="0.55000000000000004">
      <c r="A151" s="10" t="s">
        <v>191</v>
      </c>
      <c r="B151" s="10" t="s">
        <v>38</v>
      </c>
      <c r="C151" s="10" t="s">
        <v>35</v>
      </c>
      <c r="D151" s="10" t="s">
        <v>36</v>
      </c>
      <c r="E151" s="10">
        <v>0</v>
      </c>
      <c r="F151" s="10">
        <v>106</v>
      </c>
      <c r="G151" s="10">
        <v>0</v>
      </c>
      <c r="H151" s="10">
        <v>38</v>
      </c>
      <c r="I151" s="11">
        <v>3.42</v>
      </c>
      <c r="J151" s="12">
        <v>0.53800000000000003</v>
      </c>
      <c r="K151" s="11">
        <v>3.2</v>
      </c>
      <c r="L151" s="10">
        <v>50</v>
      </c>
      <c r="M151" s="10">
        <v>1087</v>
      </c>
      <c r="N151" s="10">
        <f>IF(G151&lt;=Cutoffs!$B$4,4,IF(G151&lt;=Cutoffs!$C$4,3,IF(G151&lt;=Cutoffs!$D$4,2,1)))</f>
        <v>4</v>
      </c>
      <c r="O151" s="10">
        <f>IF(F151&gt;=Cutoffs!$D$5,4,IF(F151&gt;=Cutoffs!$C$5,3,IF(F151&gt;=Cutoffs!$B$5,2,1)))</f>
        <v>3</v>
      </c>
      <c r="P151" s="10">
        <f>IF(H151&gt;=Cutoffs!$D$6,4,IF(H151&gt;=Cutoffs!$C$6,3,IF(H151&gt;=Cutoffs!$B$6,2,1)))</f>
        <v>4</v>
      </c>
      <c r="Q151" s="10">
        <f t="shared" si="4"/>
        <v>11</v>
      </c>
      <c r="R151" s="10" t="str">
        <f t="shared" si="5"/>
        <v>Champions</v>
      </c>
    </row>
    <row r="152" spans="1:18" x14ac:dyDescent="0.55000000000000004">
      <c r="A152" s="10" t="s">
        <v>192</v>
      </c>
      <c r="B152" s="10" t="s">
        <v>47</v>
      </c>
      <c r="C152" s="10" t="s">
        <v>35</v>
      </c>
      <c r="D152" s="10" t="s">
        <v>36</v>
      </c>
      <c r="E152" s="10">
        <v>0</v>
      </c>
      <c r="F152" s="10">
        <v>69</v>
      </c>
      <c r="G152" s="10">
        <v>3</v>
      </c>
      <c r="H152" s="10">
        <v>10</v>
      </c>
      <c r="I152" s="11">
        <v>4.93</v>
      </c>
      <c r="J152" s="12">
        <v>0.56499999999999995</v>
      </c>
      <c r="K152" s="11">
        <v>3.4</v>
      </c>
      <c r="L152" s="10">
        <v>69</v>
      </c>
      <c r="M152" s="10">
        <v>70</v>
      </c>
      <c r="N152" s="10">
        <f>IF(G152&lt;=Cutoffs!$B$4,4,IF(G152&lt;=Cutoffs!$C$4,3,IF(G152&lt;=Cutoffs!$D$4,2,1)))</f>
        <v>3</v>
      </c>
      <c r="O152" s="10">
        <f>IF(F152&gt;=Cutoffs!$D$5,4,IF(F152&gt;=Cutoffs!$C$5,3,IF(F152&gt;=Cutoffs!$B$5,2,1)))</f>
        <v>2</v>
      </c>
      <c r="P152" s="10">
        <f>IF(H152&gt;=Cutoffs!$D$6,4,IF(H152&gt;=Cutoffs!$C$6,3,IF(H152&gt;=Cutoffs!$B$6,2,1)))</f>
        <v>1</v>
      </c>
      <c r="Q152" s="10">
        <f t="shared" si="4"/>
        <v>6</v>
      </c>
      <c r="R152" s="10" t="str">
        <f t="shared" si="5"/>
        <v>Promising</v>
      </c>
    </row>
    <row r="153" spans="1:18" x14ac:dyDescent="0.55000000000000004">
      <c r="A153" s="10" t="s">
        <v>193</v>
      </c>
      <c r="B153" s="10" t="s">
        <v>47</v>
      </c>
      <c r="C153" s="10" t="s">
        <v>35</v>
      </c>
      <c r="D153" s="10" t="s">
        <v>32</v>
      </c>
      <c r="E153" s="10">
        <v>0</v>
      </c>
      <c r="F153" s="10">
        <v>43</v>
      </c>
      <c r="G153" s="10">
        <v>52</v>
      </c>
      <c r="H153" s="10">
        <v>21</v>
      </c>
      <c r="I153" s="11">
        <v>4.3</v>
      </c>
      <c r="J153" s="12">
        <v>0.41899999999999998</v>
      </c>
      <c r="K153" s="11">
        <v>3.62</v>
      </c>
      <c r="L153" s="10">
        <v>5</v>
      </c>
      <c r="M153" s="10">
        <v>61</v>
      </c>
      <c r="N153" s="10">
        <f>IF(G153&lt;=Cutoffs!$B$4,4,IF(G153&lt;=Cutoffs!$C$4,3,IF(G153&lt;=Cutoffs!$D$4,2,1)))</f>
        <v>1</v>
      </c>
      <c r="O153" s="10">
        <f>IF(F153&gt;=Cutoffs!$D$5,4,IF(F153&gt;=Cutoffs!$C$5,3,IF(F153&gt;=Cutoffs!$B$5,2,1)))</f>
        <v>1</v>
      </c>
      <c r="P153" s="10">
        <f>IF(H153&gt;=Cutoffs!$D$6,4,IF(H153&gt;=Cutoffs!$C$6,3,IF(H153&gt;=Cutoffs!$B$6,2,1)))</f>
        <v>3</v>
      </c>
      <c r="Q153" s="10">
        <f t="shared" si="4"/>
        <v>5</v>
      </c>
      <c r="R153" s="10" t="str">
        <f t="shared" si="5"/>
        <v>Dormant</v>
      </c>
    </row>
    <row r="154" spans="1:18" x14ac:dyDescent="0.55000000000000004">
      <c r="A154" s="10" t="s">
        <v>194</v>
      </c>
      <c r="B154" s="10" t="s">
        <v>47</v>
      </c>
      <c r="C154" s="10" t="s">
        <v>35</v>
      </c>
      <c r="D154" s="10" t="s">
        <v>39</v>
      </c>
      <c r="E154" s="10">
        <v>1</v>
      </c>
      <c r="F154" s="10">
        <v>62</v>
      </c>
      <c r="G154" s="10">
        <v>8</v>
      </c>
      <c r="H154" s="10">
        <v>19</v>
      </c>
      <c r="I154" s="11">
        <v>5.64</v>
      </c>
      <c r="J154" s="12">
        <v>0.48399999999999999</v>
      </c>
      <c r="K154" s="11">
        <v>3.52</v>
      </c>
      <c r="L154" s="10">
        <v>62</v>
      </c>
      <c r="M154" s="10">
        <v>127</v>
      </c>
      <c r="N154" s="10">
        <f>IF(G154&lt;=Cutoffs!$B$4,4,IF(G154&lt;=Cutoffs!$C$4,3,IF(G154&lt;=Cutoffs!$D$4,2,1)))</f>
        <v>2</v>
      </c>
      <c r="O154" s="10">
        <f>IF(F154&gt;=Cutoffs!$D$5,4,IF(F154&gt;=Cutoffs!$C$5,3,IF(F154&gt;=Cutoffs!$B$5,2,1)))</f>
        <v>2</v>
      </c>
      <c r="P154" s="10">
        <f>IF(H154&gt;=Cutoffs!$D$6,4,IF(H154&gt;=Cutoffs!$C$6,3,IF(H154&gt;=Cutoffs!$B$6,2,1)))</f>
        <v>2</v>
      </c>
      <c r="Q154" s="10">
        <f t="shared" si="4"/>
        <v>6</v>
      </c>
      <c r="R154" s="10" t="str">
        <f t="shared" si="5"/>
        <v>Cooling</v>
      </c>
    </row>
    <row r="155" spans="1:18" x14ac:dyDescent="0.55000000000000004">
      <c r="A155" s="10" t="s">
        <v>195</v>
      </c>
      <c r="B155" s="10" t="s">
        <v>47</v>
      </c>
      <c r="C155" s="10" t="s">
        <v>35</v>
      </c>
      <c r="D155" s="10" t="s">
        <v>32</v>
      </c>
      <c r="E155" s="10">
        <v>1</v>
      </c>
      <c r="F155" s="10">
        <v>34</v>
      </c>
      <c r="G155" s="10">
        <v>54</v>
      </c>
      <c r="H155" s="10">
        <v>7</v>
      </c>
      <c r="I155" s="11">
        <v>4.25</v>
      </c>
      <c r="J155" s="12">
        <v>0.70599999999999996</v>
      </c>
      <c r="K155" s="11">
        <v>8.09</v>
      </c>
      <c r="L155" s="10">
        <v>2</v>
      </c>
      <c r="M155" s="10">
        <v>67</v>
      </c>
      <c r="N155" s="10">
        <f>IF(G155&lt;=Cutoffs!$B$4,4,IF(G155&lt;=Cutoffs!$C$4,3,IF(G155&lt;=Cutoffs!$D$4,2,1)))</f>
        <v>1</v>
      </c>
      <c r="O155" s="10">
        <f>IF(F155&gt;=Cutoffs!$D$5,4,IF(F155&gt;=Cutoffs!$C$5,3,IF(F155&gt;=Cutoffs!$B$5,2,1)))</f>
        <v>1</v>
      </c>
      <c r="P155" s="10">
        <f>IF(H155&gt;=Cutoffs!$D$6,4,IF(H155&gt;=Cutoffs!$C$6,3,IF(H155&gt;=Cutoffs!$B$6,2,1)))</f>
        <v>1</v>
      </c>
      <c r="Q155" s="10">
        <f t="shared" si="4"/>
        <v>3</v>
      </c>
      <c r="R155" s="10" t="str">
        <f t="shared" si="5"/>
        <v>Dormant</v>
      </c>
    </row>
    <row r="156" spans="1:18" x14ac:dyDescent="0.55000000000000004">
      <c r="A156" s="10" t="s">
        <v>196</v>
      </c>
      <c r="B156" s="10" t="s">
        <v>30</v>
      </c>
      <c r="C156" s="10" t="s">
        <v>31</v>
      </c>
      <c r="D156" s="10" t="s">
        <v>44</v>
      </c>
      <c r="E156" s="10">
        <v>0</v>
      </c>
      <c r="F156" s="10">
        <v>67</v>
      </c>
      <c r="G156" s="10">
        <v>1</v>
      </c>
      <c r="H156" s="10">
        <v>36</v>
      </c>
      <c r="I156" s="11">
        <v>3.35</v>
      </c>
      <c r="J156" s="12">
        <v>0.47799999999999998</v>
      </c>
      <c r="K156" s="11">
        <v>2.0499999999999998</v>
      </c>
      <c r="L156" s="10">
        <v>-7</v>
      </c>
      <c r="M156" s="10">
        <v>696</v>
      </c>
      <c r="N156" s="10">
        <f>IF(G156&lt;=Cutoffs!$B$4,4,IF(G156&lt;=Cutoffs!$C$4,3,IF(G156&lt;=Cutoffs!$D$4,2,1)))</f>
        <v>4</v>
      </c>
      <c r="O156" s="10">
        <f>IF(F156&gt;=Cutoffs!$D$5,4,IF(F156&gt;=Cutoffs!$C$5,3,IF(F156&gt;=Cutoffs!$B$5,2,1)))</f>
        <v>2</v>
      </c>
      <c r="P156" s="10">
        <f>IF(H156&gt;=Cutoffs!$D$6,4,IF(H156&gt;=Cutoffs!$C$6,3,IF(H156&gt;=Cutoffs!$B$6,2,1)))</f>
        <v>4</v>
      </c>
      <c r="Q156" s="10">
        <f t="shared" si="4"/>
        <v>10</v>
      </c>
      <c r="R156" s="10" t="str">
        <f t="shared" si="5"/>
        <v>Promising</v>
      </c>
    </row>
    <row r="157" spans="1:18" x14ac:dyDescent="0.55000000000000004">
      <c r="A157" s="10" t="s">
        <v>197</v>
      </c>
      <c r="B157" s="10" t="s">
        <v>47</v>
      </c>
      <c r="C157" s="10" t="s">
        <v>35</v>
      </c>
      <c r="D157" s="10" t="s">
        <v>41</v>
      </c>
      <c r="E157" s="10">
        <v>0</v>
      </c>
      <c r="F157" s="10">
        <v>51</v>
      </c>
      <c r="G157" s="10">
        <v>1</v>
      </c>
      <c r="H157" s="10">
        <v>37</v>
      </c>
      <c r="I157" s="11">
        <v>1.76</v>
      </c>
      <c r="J157" s="12">
        <v>0.51</v>
      </c>
      <c r="K157" s="11">
        <v>5</v>
      </c>
      <c r="L157" s="10">
        <v>5</v>
      </c>
      <c r="M157" s="10">
        <v>742</v>
      </c>
      <c r="N157" s="10">
        <f>IF(G157&lt;=Cutoffs!$B$4,4,IF(G157&lt;=Cutoffs!$C$4,3,IF(G157&lt;=Cutoffs!$D$4,2,1)))</f>
        <v>4</v>
      </c>
      <c r="O157" s="10">
        <f>IF(F157&gt;=Cutoffs!$D$5,4,IF(F157&gt;=Cutoffs!$C$5,3,IF(F157&gt;=Cutoffs!$B$5,2,1)))</f>
        <v>1</v>
      </c>
      <c r="P157" s="10">
        <f>IF(H157&gt;=Cutoffs!$D$6,4,IF(H157&gt;=Cutoffs!$C$6,3,IF(H157&gt;=Cutoffs!$B$6,2,1)))</f>
        <v>4</v>
      </c>
      <c r="Q157" s="10">
        <f t="shared" si="4"/>
        <v>9</v>
      </c>
      <c r="R157" s="10" t="str">
        <f t="shared" si="5"/>
        <v>Promising</v>
      </c>
    </row>
    <row r="158" spans="1:18" x14ac:dyDescent="0.55000000000000004">
      <c r="A158" s="10" t="s">
        <v>198</v>
      </c>
      <c r="B158" s="10" t="s">
        <v>47</v>
      </c>
      <c r="C158" s="10" t="s">
        <v>35</v>
      </c>
      <c r="D158" s="10" t="s">
        <v>39</v>
      </c>
      <c r="E158" s="10">
        <v>0</v>
      </c>
      <c r="F158" s="10">
        <v>197</v>
      </c>
      <c r="G158" s="10">
        <v>0</v>
      </c>
      <c r="H158" s="10">
        <v>46</v>
      </c>
      <c r="I158" s="11">
        <v>5.63</v>
      </c>
      <c r="J158" s="12">
        <v>0.436</v>
      </c>
      <c r="K158" s="11">
        <v>2.66</v>
      </c>
      <c r="L158" s="10">
        <v>151</v>
      </c>
      <c r="M158" s="10">
        <v>875</v>
      </c>
      <c r="N158" s="10">
        <f>IF(G158&lt;=Cutoffs!$B$4,4,IF(G158&lt;=Cutoffs!$C$4,3,IF(G158&lt;=Cutoffs!$D$4,2,1)))</f>
        <v>4</v>
      </c>
      <c r="O158" s="10">
        <f>IF(F158&gt;=Cutoffs!$D$5,4,IF(F158&gt;=Cutoffs!$C$5,3,IF(F158&gt;=Cutoffs!$B$5,2,1)))</f>
        <v>4</v>
      </c>
      <c r="P158" s="10">
        <f>IF(H158&gt;=Cutoffs!$D$6,4,IF(H158&gt;=Cutoffs!$C$6,3,IF(H158&gt;=Cutoffs!$B$6,2,1)))</f>
        <v>4</v>
      </c>
      <c r="Q158" s="10">
        <f t="shared" si="4"/>
        <v>12</v>
      </c>
      <c r="R158" s="10" t="str">
        <f t="shared" si="5"/>
        <v>Champions</v>
      </c>
    </row>
    <row r="159" spans="1:18" x14ac:dyDescent="0.55000000000000004">
      <c r="A159" s="10" t="s">
        <v>199</v>
      </c>
      <c r="B159" s="10" t="s">
        <v>43</v>
      </c>
      <c r="C159" s="10" t="s">
        <v>31</v>
      </c>
      <c r="D159" s="10" t="s">
        <v>39</v>
      </c>
      <c r="E159" s="10">
        <v>0</v>
      </c>
      <c r="F159" s="10">
        <v>44</v>
      </c>
      <c r="G159" s="10">
        <v>1</v>
      </c>
      <c r="H159" s="10">
        <v>8</v>
      </c>
      <c r="I159" s="11">
        <v>1.83</v>
      </c>
      <c r="J159" s="12">
        <v>0.432</v>
      </c>
      <c r="K159" s="11">
        <v>2.83</v>
      </c>
      <c r="L159" s="10">
        <v>-16</v>
      </c>
      <c r="M159" s="10">
        <v>330</v>
      </c>
      <c r="N159" s="10">
        <f>IF(G159&lt;=Cutoffs!$B$4,4,IF(G159&lt;=Cutoffs!$C$4,3,IF(G159&lt;=Cutoffs!$D$4,2,1)))</f>
        <v>4</v>
      </c>
      <c r="O159" s="10">
        <f>IF(F159&gt;=Cutoffs!$D$5,4,IF(F159&gt;=Cutoffs!$C$5,3,IF(F159&gt;=Cutoffs!$B$5,2,1)))</f>
        <v>1</v>
      </c>
      <c r="P159" s="10">
        <f>IF(H159&gt;=Cutoffs!$D$6,4,IF(H159&gt;=Cutoffs!$C$6,3,IF(H159&gt;=Cutoffs!$B$6,2,1)))</f>
        <v>1</v>
      </c>
      <c r="Q159" s="10">
        <f t="shared" si="4"/>
        <v>6</v>
      </c>
      <c r="R159" s="10" t="str">
        <f t="shared" si="5"/>
        <v>Promising</v>
      </c>
    </row>
    <row r="160" spans="1:18" x14ac:dyDescent="0.55000000000000004">
      <c r="A160" s="10" t="s">
        <v>200</v>
      </c>
      <c r="B160" s="10" t="s">
        <v>38</v>
      </c>
      <c r="C160" s="10" t="s">
        <v>35</v>
      </c>
      <c r="D160" s="10" t="s">
        <v>39</v>
      </c>
      <c r="E160" s="10">
        <v>0</v>
      </c>
      <c r="F160" s="10">
        <v>102</v>
      </c>
      <c r="G160" s="10">
        <v>2</v>
      </c>
      <c r="H160" s="10">
        <v>17</v>
      </c>
      <c r="I160" s="11">
        <v>3.92</v>
      </c>
      <c r="J160" s="12">
        <v>0.51</v>
      </c>
      <c r="K160" s="11">
        <v>4.33</v>
      </c>
      <c r="L160" s="10">
        <v>14</v>
      </c>
      <c r="M160" s="10">
        <v>83</v>
      </c>
      <c r="N160" s="10">
        <f>IF(G160&lt;=Cutoffs!$B$4,4,IF(G160&lt;=Cutoffs!$C$4,3,IF(G160&lt;=Cutoffs!$D$4,2,1)))</f>
        <v>3</v>
      </c>
      <c r="O160" s="10">
        <f>IF(F160&gt;=Cutoffs!$D$5,4,IF(F160&gt;=Cutoffs!$C$5,3,IF(F160&gt;=Cutoffs!$B$5,2,1)))</f>
        <v>3</v>
      </c>
      <c r="P160" s="10">
        <f>IF(H160&gt;=Cutoffs!$D$6,4,IF(H160&gt;=Cutoffs!$C$6,3,IF(H160&gt;=Cutoffs!$B$6,2,1)))</f>
        <v>2</v>
      </c>
      <c r="Q160" s="10">
        <f t="shared" si="4"/>
        <v>8</v>
      </c>
      <c r="R160" s="10" t="str">
        <f t="shared" si="5"/>
        <v>Champions</v>
      </c>
    </row>
    <row r="161" spans="1:18" x14ac:dyDescent="0.55000000000000004">
      <c r="A161" s="10" t="s">
        <v>201</v>
      </c>
      <c r="B161" s="10" t="s">
        <v>38</v>
      </c>
      <c r="C161" s="10" t="s">
        <v>35</v>
      </c>
      <c r="D161" s="10" t="s">
        <v>44</v>
      </c>
      <c r="E161" s="10">
        <v>1</v>
      </c>
      <c r="F161" s="10">
        <v>34</v>
      </c>
      <c r="G161" s="10">
        <v>7</v>
      </c>
      <c r="H161" s="10">
        <v>12</v>
      </c>
      <c r="I161" s="11">
        <v>3.78</v>
      </c>
      <c r="J161" s="12">
        <v>0.55900000000000005</v>
      </c>
      <c r="K161" s="11">
        <v>4.33</v>
      </c>
      <c r="L161" s="10">
        <v>-4</v>
      </c>
      <c r="M161" s="10">
        <v>440</v>
      </c>
      <c r="N161" s="10">
        <f>IF(G161&lt;=Cutoffs!$B$4,4,IF(G161&lt;=Cutoffs!$C$4,3,IF(G161&lt;=Cutoffs!$D$4,2,1)))</f>
        <v>2</v>
      </c>
      <c r="O161" s="10">
        <f>IF(F161&gt;=Cutoffs!$D$5,4,IF(F161&gt;=Cutoffs!$C$5,3,IF(F161&gt;=Cutoffs!$B$5,2,1)))</f>
        <v>1</v>
      </c>
      <c r="P161" s="10">
        <f>IF(H161&gt;=Cutoffs!$D$6,4,IF(H161&gt;=Cutoffs!$C$6,3,IF(H161&gt;=Cutoffs!$B$6,2,1)))</f>
        <v>2</v>
      </c>
      <c r="Q161" s="10">
        <f t="shared" si="4"/>
        <v>5</v>
      </c>
      <c r="R161" s="10" t="str">
        <f t="shared" si="5"/>
        <v>Cooling</v>
      </c>
    </row>
    <row r="162" spans="1:18" x14ac:dyDescent="0.55000000000000004">
      <c r="A162" s="10" t="s">
        <v>202</v>
      </c>
      <c r="B162" s="10" t="s">
        <v>47</v>
      </c>
      <c r="C162" s="10" t="s">
        <v>35</v>
      </c>
      <c r="D162" s="10" t="s">
        <v>41</v>
      </c>
      <c r="E162" s="10">
        <v>0</v>
      </c>
      <c r="F162" s="10">
        <v>147</v>
      </c>
      <c r="G162" s="10">
        <v>2</v>
      </c>
      <c r="H162" s="10">
        <v>30</v>
      </c>
      <c r="I162" s="11">
        <v>3.06</v>
      </c>
      <c r="J162" s="12">
        <v>0.48299999999999998</v>
      </c>
      <c r="K162" s="11">
        <v>3.16</v>
      </c>
      <c r="L162" s="10">
        <v>127</v>
      </c>
      <c r="M162" s="10">
        <v>617</v>
      </c>
      <c r="N162" s="10">
        <f>IF(G162&lt;=Cutoffs!$B$4,4,IF(G162&lt;=Cutoffs!$C$4,3,IF(G162&lt;=Cutoffs!$D$4,2,1)))</f>
        <v>3</v>
      </c>
      <c r="O162" s="10">
        <f>IF(F162&gt;=Cutoffs!$D$5,4,IF(F162&gt;=Cutoffs!$C$5,3,IF(F162&gt;=Cutoffs!$B$5,2,1)))</f>
        <v>3</v>
      </c>
      <c r="P162" s="10">
        <f>IF(H162&gt;=Cutoffs!$D$6,4,IF(H162&gt;=Cutoffs!$C$6,3,IF(H162&gt;=Cutoffs!$B$6,2,1)))</f>
        <v>4</v>
      </c>
      <c r="Q162" s="10">
        <f t="shared" si="4"/>
        <v>10</v>
      </c>
      <c r="R162" s="10" t="str">
        <f t="shared" si="5"/>
        <v>Champions</v>
      </c>
    </row>
    <row r="163" spans="1:18" x14ac:dyDescent="0.55000000000000004">
      <c r="A163" s="10" t="s">
        <v>203</v>
      </c>
      <c r="B163" s="10" t="s">
        <v>47</v>
      </c>
      <c r="C163" s="10" t="s">
        <v>35</v>
      </c>
      <c r="D163" s="10" t="s">
        <v>41</v>
      </c>
      <c r="E163" s="10">
        <v>0</v>
      </c>
      <c r="F163" s="10">
        <v>38</v>
      </c>
      <c r="G163" s="10">
        <v>4</v>
      </c>
      <c r="H163" s="10">
        <v>7</v>
      </c>
      <c r="I163" s="11">
        <v>2.2400000000000002</v>
      </c>
      <c r="J163" s="12">
        <v>0.39500000000000002</v>
      </c>
      <c r="K163" s="11">
        <v>3.23</v>
      </c>
      <c r="L163" s="10">
        <v>-26</v>
      </c>
      <c r="M163" s="10">
        <v>963</v>
      </c>
      <c r="N163" s="10">
        <f>IF(G163&lt;=Cutoffs!$B$4,4,IF(G163&lt;=Cutoffs!$C$4,3,IF(G163&lt;=Cutoffs!$D$4,2,1)))</f>
        <v>3</v>
      </c>
      <c r="O163" s="10">
        <f>IF(F163&gt;=Cutoffs!$D$5,4,IF(F163&gt;=Cutoffs!$C$5,3,IF(F163&gt;=Cutoffs!$B$5,2,1)))</f>
        <v>1</v>
      </c>
      <c r="P163" s="10">
        <f>IF(H163&gt;=Cutoffs!$D$6,4,IF(H163&gt;=Cutoffs!$C$6,3,IF(H163&gt;=Cutoffs!$B$6,2,1)))</f>
        <v>1</v>
      </c>
      <c r="Q163" s="10">
        <f t="shared" si="4"/>
        <v>5</v>
      </c>
      <c r="R163" s="10" t="str">
        <f t="shared" si="5"/>
        <v>Promising</v>
      </c>
    </row>
    <row r="164" spans="1:18" x14ac:dyDescent="0.55000000000000004">
      <c r="A164" s="10" t="s">
        <v>204</v>
      </c>
      <c r="B164" s="10" t="s">
        <v>47</v>
      </c>
      <c r="C164" s="10" t="s">
        <v>35</v>
      </c>
      <c r="D164" s="10" t="s">
        <v>44</v>
      </c>
      <c r="E164" s="10">
        <v>1</v>
      </c>
      <c r="F164" s="10">
        <v>191</v>
      </c>
      <c r="G164" s="10">
        <v>21</v>
      </c>
      <c r="H164" s="10">
        <v>9</v>
      </c>
      <c r="I164" s="11">
        <v>7.07</v>
      </c>
      <c r="J164" s="12">
        <v>0.50800000000000001</v>
      </c>
      <c r="K164" s="11">
        <v>3.81</v>
      </c>
      <c r="L164" s="10">
        <v>115</v>
      </c>
      <c r="M164" s="10">
        <v>412</v>
      </c>
      <c r="N164" s="10">
        <f>IF(G164&lt;=Cutoffs!$B$4,4,IF(G164&lt;=Cutoffs!$C$4,3,IF(G164&lt;=Cutoffs!$D$4,2,1)))</f>
        <v>2</v>
      </c>
      <c r="O164" s="10">
        <f>IF(F164&gt;=Cutoffs!$D$5,4,IF(F164&gt;=Cutoffs!$C$5,3,IF(F164&gt;=Cutoffs!$B$5,2,1)))</f>
        <v>4</v>
      </c>
      <c r="P164" s="10">
        <f>IF(H164&gt;=Cutoffs!$D$6,4,IF(H164&gt;=Cutoffs!$C$6,3,IF(H164&gt;=Cutoffs!$B$6,2,1)))</f>
        <v>1</v>
      </c>
      <c r="Q164" s="10">
        <f t="shared" si="4"/>
        <v>7</v>
      </c>
      <c r="R164" s="10" t="str">
        <f t="shared" si="5"/>
        <v>At risk</v>
      </c>
    </row>
    <row r="165" spans="1:18" x14ac:dyDescent="0.55000000000000004">
      <c r="A165" s="10" t="s">
        <v>205</v>
      </c>
      <c r="B165" s="10" t="s">
        <v>43</v>
      </c>
      <c r="C165" s="10" t="s">
        <v>31</v>
      </c>
      <c r="D165" s="10" t="s">
        <v>41</v>
      </c>
      <c r="E165" s="10">
        <v>1</v>
      </c>
      <c r="F165" s="10">
        <v>121</v>
      </c>
      <c r="G165" s="10">
        <v>16</v>
      </c>
      <c r="H165" s="10">
        <v>7</v>
      </c>
      <c r="I165" s="11">
        <v>3.67</v>
      </c>
      <c r="J165" s="12">
        <v>0.52100000000000002</v>
      </c>
      <c r="K165" s="11">
        <v>3.42</v>
      </c>
      <c r="L165" s="10">
        <v>-95</v>
      </c>
      <c r="M165" s="10">
        <v>69</v>
      </c>
      <c r="N165" s="10">
        <f>IF(G165&lt;=Cutoffs!$B$4,4,IF(G165&lt;=Cutoffs!$C$4,3,IF(G165&lt;=Cutoffs!$D$4,2,1)))</f>
        <v>2</v>
      </c>
      <c r="O165" s="10">
        <f>IF(F165&gt;=Cutoffs!$D$5,4,IF(F165&gt;=Cutoffs!$C$5,3,IF(F165&gt;=Cutoffs!$B$5,2,1)))</f>
        <v>3</v>
      </c>
      <c r="P165" s="10">
        <f>IF(H165&gt;=Cutoffs!$D$6,4,IF(H165&gt;=Cutoffs!$C$6,3,IF(H165&gt;=Cutoffs!$B$6,2,1)))</f>
        <v>1</v>
      </c>
      <c r="Q165" s="10">
        <f t="shared" si="4"/>
        <v>6</v>
      </c>
      <c r="R165" s="10" t="str">
        <f t="shared" si="5"/>
        <v>At risk</v>
      </c>
    </row>
    <row r="166" spans="1:18" x14ac:dyDescent="0.55000000000000004">
      <c r="A166" s="10" t="s">
        <v>206</v>
      </c>
      <c r="B166" s="10" t="s">
        <v>47</v>
      </c>
      <c r="C166" s="10" t="s">
        <v>35</v>
      </c>
      <c r="D166" s="10" t="s">
        <v>32</v>
      </c>
      <c r="E166" s="10">
        <v>0</v>
      </c>
      <c r="F166" s="10">
        <v>110</v>
      </c>
      <c r="G166" s="10">
        <v>3</v>
      </c>
      <c r="H166" s="10">
        <v>33</v>
      </c>
      <c r="I166" s="11">
        <v>3.14</v>
      </c>
      <c r="J166" s="12">
        <v>0.56399999999999995</v>
      </c>
      <c r="K166" s="11">
        <v>2.72</v>
      </c>
      <c r="L166" s="10">
        <v>96</v>
      </c>
      <c r="M166" s="10">
        <v>554</v>
      </c>
      <c r="N166" s="10">
        <f>IF(G166&lt;=Cutoffs!$B$4,4,IF(G166&lt;=Cutoffs!$C$4,3,IF(G166&lt;=Cutoffs!$D$4,2,1)))</f>
        <v>3</v>
      </c>
      <c r="O166" s="10">
        <f>IF(F166&gt;=Cutoffs!$D$5,4,IF(F166&gt;=Cutoffs!$C$5,3,IF(F166&gt;=Cutoffs!$B$5,2,1)))</f>
        <v>3</v>
      </c>
      <c r="P166" s="10">
        <f>IF(H166&gt;=Cutoffs!$D$6,4,IF(H166&gt;=Cutoffs!$C$6,3,IF(H166&gt;=Cutoffs!$B$6,2,1)))</f>
        <v>4</v>
      </c>
      <c r="Q166" s="10">
        <f t="shared" si="4"/>
        <v>10</v>
      </c>
      <c r="R166" s="10" t="str">
        <f t="shared" si="5"/>
        <v>Champions</v>
      </c>
    </row>
    <row r="167" spans="1:18" x14ac:dyDescent="0.55000000000000004">
      <c r="A167" s="10" t="s">
        <v>207</v>
      </c>
      <c r="B167" s="10" t="s">
        <v>38</v>
      </c>
      <c r="C167" s="10" t="s">
        <v>35</v>
      </c>
      <c r="D167" s="10" t="s">
        <v>44</v>
      </c>
      <c r="E167" s="10">
        <v>0</v>
      </c>
      <c r="F167" s="10">
        <v>190</v>
      </c>
      <c r="G167" s="10">
        <v>4</v>
      </c>
      <c r="H167" s="10">
        <v>8</v>
      </c>
      <c r="I167" s="11">
        <v>3.45</v>
      </c>
      <c r="J167" s="12">
        <v>0.54200000000000004</v>
      </c>
      <c r="K167" s="11">
        <v>2.9</v>
      </c>
      <c r="L167" s="10">
        <v>-32</v>
      </c>
      <c r="M167" s="10">
        <v>108</v>
      </c>
      <c r="N167" s="10">
        <f>IF(G167&lt;=Cutoffs!$B$4,4,IF(G167&lt;=Cutoffs!$C$4,3,IF(G167&lt;=Cutoffs!$D$4,2,1)))</f>
        <v>3</v>
      </c>
      <c r="O167" s="10">
        <f>IF(F167&gt;=Cutoffs!$D$5,4,IF(F167&gt;=Cutoffs!$C$5,3,IF(F167&gt;=Cutoffs!$B$5,2,1)))</f>
        <v>4</v>
      </c>
      <c r="P167" s="10">
        <f>IF(H167&gt;=Cutoffs!$D$6,4,IF(H167&gt;=Cutoffs!$C$6,3,IF(H167&gt;=Cutoffs!$B$6,2,1)))</f>
        <v>1</v>
      </c>
      <c r="Q167" s="10">
        <f t="shared" si="4"/>
        <v>8</v>
      </c>
      <c r="R167" s="10" t="str">
        <f t="shared" si="5"/>
        <v>Champions</v>
      </c>
    </row>
    <row r="168" spans="1:18" x14ac:dyDescent="0.55000000000000004">
      <c r="A168" s="10" t="s">
        <v>208</v>
      </c>
      <c r="B168" s="10" t="s">
        <v>30</v>
      </c>
      <c r="C168" s="10" t="s">
        <v>31</v>
      </c>
      <c r="D168" s="10" t="s">
        <v>36</v>
      </c>
      <c r="E168" s="10">
        <v>0</v>
      </c>
      <c r="F168" s="10">
        <v>67</v>
      </c>
      <c r="G168" s="10">
        <v>38</v>
      </c>
      <c r="H168" s="10">
        <v>22</v>
      </c>
      <c r="I168" s="11">
        <v>5.15</v>
      </c>
      <c r="J168" s="12">
        <v>0.433</v>
      </c>
      <c r="K168" s="11">
        <v>2.37</v>
      </c>
      <c r="L168" s="10">
        <v>-1</v>
      </c>
      <c r="M168" s="10">
        <v>673</v>
      </c>
      <c r="N168" s="10">
        <f>IF(G168&lt;=Cutoffs!$B$4,4,IF(G168&lt;=Cutoffs!$C$4,3,IF(G168&lt;=Cutoffs!$D$4,2,1)))</f>
        <v>1</v>
      </c>
      <c r="O168" s="10">
        <f>IF(F168&gt;=Cutoffs!$D$5,4,IF(F168&gt;=Cutoffs!$C$5,3,IF(F168&gt;=Cutoffs!$B$5,2,1)))</f>
        <v>2</v>
      </c>
      <c r="P168" s="10">
        <f>IF(H168&gt;=Cutoffs!$D$6,4,IF(H168&gt;=Cutoffs!$C$6,3,IF(H168&gt;=Cutoffs!$B$6,2,1)))</f>
        <v>3</v>
      </c>
      <c r="Q168" s="10">
        <f t="shared" si="4"/>
        <v>6</v>
      </c>
      <c r="R168" s="10" t="str">
        <f t="shared" si="5"/>
        <v>Dormant</v>
      </c>
    </row>
    <row r="169" spans="1:18" x14ac:dyDescent="0.55000000000000004">
      <c r="A169" s="10" t="s">
        <v>209</v>
      </c>
      <c r="B169" s="10" t="s">
        <v>34</v>
      </c>
      <c r="C169" s="10" t="s">
        <v>35</v>
      </c>
      <c r="D169" s="10" t="s">
        <v>41</v>
      </c>
      <c r="E169" s="10">
        <v>0</v>
      </c>
      <c r="F169" s="10">
        <v>78</v>
      </c>
      <c r="G169" s="10">
        <v>1</v>
      </c>
      <c r="H169" s="10">
        <v>19</v>
      </c>
      <c r="I169" s="11">
        <v>3.71</v>
      </c>
      <c r="J169" s="12">
        <v>0.47399999999999998</v>
      </c>
      <c r="K169" s="11">
        <v>2.92</v>
      </c>
      <c r="L169" s="10">
        <v>76</v>
      </c>
      <c r="M169" s="10">
        <v>486</v>
      </c>
      <c r="N169" s="10">
        <f>IF(G169&lt;=Cutoffs!$B$4,4,IF(G169&lt;=Cutoffs!$C$4,3,IF(G169&lt;=Cutoffs!$D$4,2,1)))</f>
        <v>4</v>
      </c>
      <c r="O169" s="10">
        <f>IF(F169&gt;=Cutoffs!$D$5,4,IF(F169&gt;=Cutoffs!$C$5,3,IF(F169&gt;=Cutoffs!$B$5,2,1)))</f>
        <v>2</v>
      </c>
      <c r="P169" s="10">
        <f>IF(H169&gt;=Cutoffs!$D$6,4,IF(H169&gt;=Cutoffs!$C$6,3,IF(H169&gt;=Cutoffs!$B$6,2,1)))</f>
        <v>2</v>
      </c>
      <c r="Q169" s="10">
        <f t="shared" si="4"/>
        <v>8</v>
      </c>
      <c r="R169" s="10" t="str">
        <f t="shared" si="5"/>
        <v>Promising</v>
      </c>
    </row>
    <row r="170" spans="1:18" x14ac:dyDescent="0.55000000000000004">
      <c r="A170" s="10" t="s">
        <v>210</v>
      </c>
      <c r="B170" s="10" t="s">
        <v>30</v>
      </c>
      <c r="C170" s="10" t="s">
        <v>31</v>
      </c>
      <c r="D170" s="10" t="s">
        <v>41</v>
      </c>
      <c r="E170" s="10">
        <v>0</v>
      </c>
      <c r="F170" s="10">
        <v>104</v>
      </c>
      <c r="G170" s="10">
        <v>41</v>
      </c>
      <c r="H170" s="10">
        <v>13</v>
      </c>
      <c r="I170" s="11">
        <v>2.04</v>
      </c>
      <c r="J170" s="12">
        <v>0.51</v>
      </c>
      <c r="K170" s="11">
        <v>2.6</v>
      </c>
      <c r="L170" s="10">
        <v>-80</v>
      </c>
      <c r="M170" s="10">
        <v>75</v>
      </c>
      <c r="N170" s="10">
        <f>IF(G170&lt;=Cutoffs!$B$4,4,IF(G170&lt;=Cutoffs!$C$4,3,IF(G170&lt;=Cutoffs!$D$4,2,1)))</f>
        <v>1</v>
      </c>
      <c r="O170" s="10">
        <f>IF(F170&gt;=Cutoffs!$D$5,4,IF(F170&gt;=Cutoffs!$C$5,3,IF(F170&gt;=Cutoffs!$B$5,2,1)))</f>
        <v>3</v>
      </c>
      <c r="P170" s="10">
        <f>IF(H170&gt;=Cutoffs!$D$6,4,IF(H170&gt;=Cutoffs!$C$6,3,IF(H170&gt;=Cutoffs!$B$6,2,1)))</f>
        <v>2</v>
      </c>
      <c r="Q170" s="10">
        <f t="shared" si="4"/>
        <v>6</v>
      </c>
      <c r="R170" s="10" t="str">
        <f t="shared" si="5"/>
        <v>At risk</v>
      </c>
    </row>
    <row r="171" spans="1:18" x14ac:dyDescent="0.55000000000000004">
      <c r="A171" s="10" t="s">
        <v>211</v>
      </c>
      <c r="B171" s="10" t="s">
        <v>58</v>
      </c>
      <c r="C171" s="10" t="s">
        <v>31</v>
      </c>
      <c r="D171" s="10" t="s">
        <v>41</v>
      </c>
      <c r="E171" s="10">
        <v>0</v>
      </c>
      <c r="F171" s="10">
        <v>29</v>
      </c>
      <c r="G171" s="10">
        <v>1</v>
      </c>
      <c r="H171" s="10">
        <v>2</v>
      </c>
      <c r="I171" s="11">
        <v>2.42</v>
      </c>
      <c r="J171" s="12">
        <v>0.44800000000000001</v>
      </c>
      <c r="K171" s="11">
        <v>2.3199999999999998</v>
      </c>
      <c r="L171" s="10">
        <v>29</v>
      </c>
      <c r="M171" s="10">
        <v>72</v>
      </c>
      <c r="N171" s="10">
        <f>IF(G171&lt;=Cutoffs!$B$4,4,IF(G171&lt;=Cutoffs!$C$4,3,IF(G171&lt;=Cutoffs!$D$4,2,1)))</f>
        <v>4</v>
      </c>
      <c r="O171" s="10">
        <f>IF(F171&gt;=Cutoffs!$D$5,4,IF(F171&gt;=Cutoffs!$C$5,3,IF(F171&gt;=Cutoffs!$B$5,2,1)))</f>
        <v>1</v>
      </c>
      <c r="P171" s="10">
        <f>IF(H171&gt;=Cutoffs!$D$6,4,IF(H171&gt;=Cutoffs!$C$6,3,IF(H171&gt;=Cutoffs!$B$6,2,1)))</f>
        <v>1</v>
      </c>
      <c r="Q171" s="10">
        <f t="shared" si="4"/>
        <v>6</v>
      </c>
      <c r="R171" s="10" t="str">
        <f t="shared" si="5"/>
        <v>Promising</v>
      </c>
    </row>
    <row r="172" spans="1:18" x14ac:dyDescent="0.55000000000000004">
      <c r="A172" s="10" t="s">
        <v>212</v>
      </c>
      <c r="B172" s="10" t="s">
        <v>43</v>
      </c>
      <c r="C172" s="10" t="s">
        <v>31</v>
      </c>
      <c r="D172" s="10" t="s">
        <v>39</v>
      </c>
      <c r="E172" s="10">
        <v>0</v>
      </c>
      <c r="F172" s="10">
        <v>67</v>
      </c>
      <c r="G172" s="10">
        <v>4</v>
      </c>
      <c r="H172" s="10">
        <v>25</v>
      </c>
      <c r="I172" s="11">
        <v>1.91</v>
      </c>
      <c r="J172" s="12">
        <v>0.41799999999999998</v>
      </c>
      <c r="K172" s="11">
        <v>2.48</v>
      </c>
      <c r="L172" s="10">
        <v>13</v>
      </c>
      <c r="M172" s="10">
        <v>94</v>
      </c>
      <c r="N172" s="10">
        <f>IF(G172&lt;=Cutoffs!$B$4,4,IF(G172&lt;=Cutoffs!$C$4,3,IF(G172&lt;=Cutoffs!$D$4,2,1)))</f>
        <v>3</v>
      </c>
      <c r="O172" s="10">
        <f>IF(F172&gt;=Cutoffs!$D$5,4,IF(F172&gt;=Cutoffs!$C$5,3,IF(F172&gt;=Cutoffs!$B$5,2,1)))</f>
        <v>2</v>
      </c>
      <c r="P172" s="10">
        <f>IF(H172&gt;=Cutoffs!$D$6,4,IF(H172&gt;=Cutoffs!$C$6,3,IF(H172&gt;=Cutoffs!$B$6,2,1)))</f>
        <v>3</v>
      </c>
      <c r="Q172" s="10">
        <f t="shared" si="4"/>
        <v>8</v>
      </c>
      <c r="R172" s="10" t="str">
        <f t="shared" si="5"/>
        <v>Promising</v>
      </c>
    </row>
    <row r="173" spans="1:18" x14ac:dyDescent="0.55000000000000004">
      <c r="A173" s="10" t="s">
        <v>213</v>
      </c>
      <c r="B173" s="10" t="s">
        <v>30</v>
      </c>
      <c r="C173" s="10" t="s">
        <v>31</v>
      </c>
      <c r="D173" s="10" t="s">
        <v>41</v>
      </c>
      <c r="E173" s="10">
        <v>1</v>
      </c>
      <c r="F173" s="10">
        <v>194</v>
      </c>
      <c r="G173" s="10">
        <v>46</v>
      </c>
      <c r="H173" s="10">
        <v>22</v>
      </c>
      <c r="I173" s="11">
        <v>6.47</v>
      </c>
      <c r="J173" s="12">
        <v>0.48399999999999999</v>
      </c>
      <c r="K173" s="11">
        <v>2.67</v>
      </c>
      <c r="L173" s="10">
        <v>-56</v>
      </c>
      <c r="M173" s="10">
        <v>492</v>
      </c>
      <c r="N173" s="10">
        <f>IF(G173&lt;=Cutoffs!$B$4,4,IF(G173&lt;=Cutoffs!$C$4,3,IF(G173&lt;=Cutoffs!$D$4,2,1)))</f>
        <v>1</v>
      </c>
      <c r="O173" s="10">
        <f>IF(F173&gt;=Cutoffs!$D$5,4,IF(F173&gt;=Cutoffs!$C$5,3,IF(F173&gt;=Cutoffs!$B$5,2,1)))</f>
        <v>4</v>
      </c>
      <c r="P173" s="10">
        <f>IF(H173&gt;=Cutoffs!$D$6,4,IF(H173&gt;=Cutoffs!$C$6,3,IF(H173&gt;=Cutoffs!$B$6,2,1)))</f>
        <v>3</v>
      </c>
      <c r="Q173" s="10">
        <f t="shared" si="4"/>
        <v>8</v>
      </c>
      <c r="R173" s="10" t="str">
        <f t="shared" si="5"/>
        <v>At risk</v>
      </c>
    </row>
    <row r="174" spans="1:18" x14ac:dyDescent="0.55000000000000004">
      <c r="A174" s="10" t="s">
        <v>214</v>
      </c>
      <c r="B174" s="10" t="s">
        <v>43</v>
      </c>
      <c r="C174" s="10" t="s">
        <v>31</v>
      </c>
      <c r="D174" s="10" t="s">
        <v>41</v>
      </c>
      <c r="E174" s="10">
        <v>0</v>
      </c>
      <c r="F174" s="10">
        <v>80</v>
      </c>
      <c r="G174" s="10">
        <v>50</v>
      </c>
      <c r="H174" s="10">
        <v>10</v>
      </c>
      <c r="I174" s="11">
        <v>2.5</v>
      </c>
      <c r="J174" s="12">
        <v>0.51200000000000001</v>
      </c>
      <c r="K174" s="11">
        <v>3.31</v>
      </c>
      <c r="L174" s="10">
        <v>-70</v>
      </c>
      <c r="M174" s="10">
        <v>559</v>
      </c>
      <c r="N174" s="10">
        <f>IF(G174&lt;=Cutoffs!$B$4,4,IF(G174&lt;=Cutoffs!$C$4,3,IF(G174&lt;=Cutoffs!$D$4,2,1)))</f>
        <v>1</v>
      </c>
      <c r="O174" s="10">
        <f>IF(F174&gt;=Cutoffs!$D$5,4,IF(F174&gt;=Cutoffs!$C$5,3,IF(F174&gt;=Cutoffs!$B$5,2,1)))</f>
        <v>2</v>
      </c>
      <c r="P174" s="10">
        <f>IF(H174&gt;=Cutoffs!$D$6,4,IF(H174&gt;=Cutoffs!$C$6,3,IF(H174&gt;=Cutoffs!$B$6,2,1)))</f>
        <v>1</v>
      </c>
      <c r="Q174" s="10">
        <f t="shared" si="4"/>
        <v>4</v>
      </c>
      <c r="R174" s="10" t="str">
        <f t="shared" si="5"/>
        <v>Dormant</v>
      </c>
    </row>
    <row r="175" spans="1:18" x14ac:dyDescent="0.55000000000000004">
      <c r="A175" s="10" t="s">
        <v>215</v>
      </c>
      <c r="B175" s="10" t="s">
        <v>38</v>
      </c>
      <c r="C175" s="10" t="s">
        <v>35</v>
      </c>
      <c r="D175" s="10" t="s">
        <v>44</v>
      </c>
      <c r="E175" s="10">
        <v>0</v>
      </c>
      <c r="F175" s="10">
        <v>209</v>
      </c>
      <c r="G175" s="10">
        <v>1</v>
      </c>
      <c r="H175" s="10">
        <v>30</v>
      </c>
      <c r="I175" s="11">
        <v>3.48</v>
      </c>
      <c r="J175" s="12">
        <v>0.50700000000000001</v>
      </c>
      <c r="K175" s="11">
        <v>2.2799999999999998</v>
      </c>
      <c r="L175" s="10">
        <v>127</v>
      </c>
      <c r="M175" s="10">
        <v>622</v>
      </c>
      <c r="N175" s="10">
        <f>IF(G175&lt;=Cutoffs!$B$4,4,IF(G175&lt;=Cutoffs!$C$4,3,IF(G175&lt;=Cutoffs!$D$4,2,1)))</f>
        <v>4</v>
      </c>
      <c r="O175" s="10">
        <f>IF(F175&gt;=Cutoffs!$D$5,4,IF(F175&gt;=Cutoffs!$C$5,3,IF(F175&gt;=Cutoffs!$B$5,2,1)))</f>
        <v>4</v>
      </c>
      <c r="P175" s="10">
        <f>IF(H175&gt;=Cutoffs!$D$6,4,IF(H175&gt;=Cutoffs!$C$6,3,IF(H175&gt;=Cutoffs!$B$6,2,1)))</f>
        <v>4</v>
      </c>
      <c r="Q175" s="10">
        <f t="shared" si="4"/>
        <v>12</v>
      </c>
      <c r="R175" s="10" t="str">
        <f t="shared" si="5"/>
        <v>Champions</v>
      </c>
    </row>
    <row r="176" spans="1:18" x14ac:dyDescent="0.55000000000000004">
      <c r="A176" s="10" t="s">
        <v>216</v>
      </c>
      <c r="B176" s="10" t="s">
        <v>47</v>
      </c>
      <c r="C176" s="10" t="s">
        <v>35</v>
      </c>
      <c r="D176" s="10" t="s">
        <v>44</v>
      </c>
      <c r="E176" s="10">
        <v>0</v>
      </c>
      <c r="F176" s="10">
        <v>178</v>
      </c>
      <c r="G176" s="10">
        <v>22</v>
      </c>
      <c r="H176" s="10">
        <v>12</v>
      </c>
      <c r="I176" s="11">
        <v>8.09</v>
      </c>
      <c r="J176" s="12">
        <v>0.54500000000000004</v>
      </c>
      <c r="K176" s="11">
        <v>2.4700000000000002</v>
      </c>
      <c r="L176" s="10">
        <v>-44</v>
      </c>
      <c r="M176" s="10">
        <v>324</v>
      </c>
      <c r="N176" s="10">
        <f>IF(G176&lt;=Cutoffs!$B$4,4,IF(G176&lt;=Cutoffs!$C$4,3,IF(G176&lt;=Cutoffs!$D$4,2,1)))</f>
        <v>1</v>
      </c>
      <c r="O176" s="10">
        <f>IF(F176&gt;=Cutoffs!$D$5,4,IF(F176&gt;=Cutoffs!$C$5,3,IF(F176&gt;=Cutoffs!$B$5,2,1)))</f>
        <v>4</v>
      </c>
      <c r="P176" s="10">
        <f>IF(H176&gt;=Cutoffs!$D$6,4,IF(H176&gt;=Cutoffs!$C$6,3,IF(H176&gt;=Cutoffs!$B$6,2,1)))</f>
        <v>2</v>
      </c>
      <c r="Q176" s="10">
        <f t="shared" si="4"/>
        <v>7</v>
      </c>
      <c r="R176" s="10" t="str">
        <f t="shared" si="5"/>
        <v>At risk</v>
      </c>
    </row>
    <row r="177" spans="1:18" x14ac:dyDescent="0.55000000000000004">
      <c r="A177" s="10" t="s">
        <v>217</v>
      </c>
      <c r="B177" s="10" t="s">
        <v>58</v>
      </c>
      <c r="C177" s="10" t="s">
        <v>31</v>
      </c>
      <c r="D177" s="10" t="s">
        <v>41</v>
      </c>
      <c r="E177" s="10">
        <v>0</v>
      </c>
      <c r="F177" s="10">
        <v>196</v>
      </c>
      <c r="G177" s="10">
        <v>1</v>
      </c>
      <c r="H177" s="10">
        <v>23</v>
      </c>
      <c r="I177" s="11">
        <v>5.3</v>
      </c>
      <c r="J177" s="12">
        <v>0.495</v>
      </c>
      <c r="K177" s="11">
        <v>5.01</v>
      </c>
      <c r="L177" s="10">
        <v>194</v>
      </c>
      <c r="M177" s="10">
        <v>828</v>
      </c>
      <c r="N177" s="10">
        <f>IF(G177&lt;=Cutoffs!$B$4,4,IF(G177&lt;=Cutoffs!$C$4,3,IF(G177&lt;=Cutoffs!$D$4,2,1)))</f>
        <v>4</v>
      </c>
      <c r="O177" s="10">
        <f>IF(F177&gt;=Cutoffs!$D$5,4,IF(F177&gt;=Cutoffs!$C$5,3,IF(F177&gt;=Cutoffs!$B$5,2,1)))</f>
        <v>4</v>
      </c>
      <c r="P177" s="10">
        <f>IF(H177&gt;=Cutoffs!$D$6,4,IF(H177&gt;=Cutoffs!$C$6,3,IF(H177&gt;=Cutoffs!$B$6,2,1)))</f>
        <v>3</v>
      </c>
      <c r="Q177" s="10">
        <f t="shared" si="4"/>
        <v>11</v>
      </c>
      <c r="R177" s="10" t="str">
        <f t="shared" si="5"/>
        <v>Champions</v>
      </c>
    </row>
    <row r="178" spans="1:18" x14ac:dyDescent="0.55000000000000004">
      <c r="A178" s="10" t="s">
        <v>218</v>
      </c>
      <c r="B178" s="10" t="s">
        <v>34</v>
      </c>
      <c r="C178" s="10" t="s">
        <v>35</v>
      </c>
      <c r="D178" s="10" t="s">
        <v>39</v>
      </c>
      <c r="E178" s="10">
        <v>0</v>
      </c>
      <c r="F178" s="10">
        <v>42</v>
      </c>
      <c r="G178" s="10">
        <v>1</v>
      </c>
      <c r="H178" s="10">
        <v>22</v>
      </c>
      <c r="I178" s="11">
        <v>4.2</v>
      </c>
      <c r="J178" s="12">
        <v>0.47599999999999998</v>
      </c>
      <c r="K178" s="11">
        <v>2.72</v>
      </c>
      <c r="L178" s="10">
        <v>-16</v>
      </c>
      <c r="M178" s="10">
        <v>475</v>
      </c>
      <c r="N178" s="10">
        <f>IF(G178&lt;=Cutoffs!$B$4,4,IF(G178&lt;=Cutoffs!$C$4,3,IF(G178&lt;=Cutoffs!$D$4,2,1)))</f>
        <v>4</v>
      </c>
      <c r="O178" s="10">
        <f>IF(F178&gt;=Cutoffs!$D$5,4,IF(F178&gt;=Cutoffs!$C$5,3,IF(F178&gt;=Cutoffs!$B$5,2,1)))</f>
        <v>1</v>
      </c>
      <c r="P178" s="10">
        <f>IF(H178&gt;=Cutoffs!$D$6,4,IF(H178&gt;=Cutoffs!$C$6,3,IF(H178&gt;=Cutoffs!$B$6,2,1)))</f>
        <v>3</v>
      </c>
      <c r="Q178" s="10">
        <f t="shared" si="4"/>
        <v>8</v>
      </c>
      <c r="R178" s="10" t="str">
        <f t="shared" si="5"/>
        <v>Promising</v>
      </c>
    </row>
    <row r="179" spans="1:18" x14ac:dyDescent="0.55000000000000004">
      <c r="A179" s="10" t="s">
        <v>219</v>
      </c>
      <c r="B179" s="10" t="s">
        <v>47</v>
      </c>
      <c r="C179" s="10" t="s">
        <v>35</v>
      </c>
      <c r="D179" s="10" t="s">
        <v>36</v>
      </c>
      <c r="E179" s="10">
        <v>1</v>
      </c>
      <c r="F179" s="10">
        <v>64</v>
      </c>
      <c r="G179" s="10">
        <v>38</v>
      </c>
      <c r="H179" s="10">
        <v>13</v>
      </c>
      <c r="I179" s="11">
        <v>5.82</v>
      </c>
      <c r="J179" s="12">
        <v>0.625</v>
      </c>
      <c r="K179" s="11">
        <v>3.48</v>
      </c>
      <c r="L179" s="10">
        <v>62</v>
      </c>
      <c r="M179" s="10">
        <v>91</v>
      </c>
      <c r="N179" s="10">
        <f>IF(G179&lt;=Cutoffs!$B$4,4,IF(G179&lt;=Cutoffs!$C$4,3,IF(G179&lt;=Cutoffs!$D$4,2,1)))</f>
        <v>1</v>
      </c>
      <c r="O179" s="10">
        <f>IF(F179&gt;=Cutoffs!$D$5,4,IF(F179&gt;=Cutoffs!$C$5,3,IF(F179&gt;=Cutoffs!$B$5,2,1)))</f>
        <v>2</v>
      </c>
      <c r="P179" s="10">
        <f>IF(H179&gt;=Cutoffs!$D$6,4,IF(H179&gt;=Cutoffs!$C$6,3,IF(H179&gt;=Cutoffs!$B$6,2,1)))</f>
        <v>2</v>
      </c>
      <c r="Q179" s="10">
        <f t="shared" si="4"/>
        <v>5</v>
      </c>
      <c r="R179" s="10" t="str">
        <f t="shared" si="5"/>
        <v>Dormant</v>
      </c>
    </row>
    <row r="180" spans="1:18" x14ac:dyDescent="0.55000000000000004">
      <c r="A180" s="10" t="s">
        <v>220</v>
      </c>
      <c r="B180" s="10" t="s">
        <v>30</v>
      </c>
      <c r="C180" s="10" t="s">
        <v>31</v>
      </c>
      <c r="D180" s="10" t="s">
        <v>44</v>
      </c>
      <c r="E180" s="10">
        <v>0</v>
      </c>
      <c r="F180" s="10">
        <v>29</v>
      </c>
      <c r="G180" s="10">
        <v>5</v>
      </c>
      <c r="H180" s="10">
        <v>11</v>
      </c>
      <c r="I180" s="11">
        <v>2.23</v>
      </c>
      <c r="J180" s="12">
        <v>0.58599999999999997</v>
      </c>
      <c r="K180" s="11">
        <v>4.21</v>
      </c>
      <c r="L180" s="10">
        <v>19</v>
      </c>
      <c r="M180" s="10">
        <v>316</v>
      </c>
      <c r="N180" s="10">
        <f>IF(G180&lt;=Cutoffs!$B$4,4,IF(G180&lt;=Cutoffs!$C$4,3,IF(G180&lt;=Cutoffs!$D$4,2,1)))</f>
        <v>3</v>
      </c>
      <c r="O180" s="10">
        <f>IF(F180&gt;=Cutoffs!$D$5,4,IF(F180&gt;=Cutoffs!$C$5,3,IF(F180&gt;=Cutoffs!$B$5,2,1)))</f>
        <v>1</v>
      </c>
      <c r="P180" s="10">
        <f>IF(H180&gt;=Cutoffs!$D$6,4,IF(H180&gt;=Cutoffs!$C$6,3,IF(H180&gt;=Cutoffs!$B$6,2,1)))</f>
        <v>2</v>
      </c>
      <c r="Q180" s="10">
        <f t="shared" si="4"/>
        <v>6</v>
      </c>
      <c r="R180" s="10" t="str">
        <f t="shared" si="5"/>
        <v>Promising</v>
      </c>
    </row>
    <row r="181" spans="1:18" x14ac:dyDescent="0.55000000000000004">
      <c r="A181" s="10" t="s">
        <v>221</v>
      </c>
      <c r="B181" s="10" t="s">
        <v>47</v>
      </c>
      <c r="C181" s="10" t="s">
        <v>35</v>
      </c>
      <c r="D181" s="10" t="s">
        <v>32</v>
      </c>
      <c r="E181" s="10">
        <v>0</v>
      </c>
      <c r="F181" s="10">
        <v>78</v>
      </c>
      <c r="G181" s="10">
        <v>3</v>
      </c>
      <c r="H181" s="10">
        <v>33</v>
      </c>
      <c r="I181" s="11">
        <v>2.36</v>
      </c>
      <c r="J181" s="12">
        <v>0.46200000000000002</v>
      </c>
      <c r="K181" s="11">
        <v>2.92</v>
      </c>
      <c r="L181" s="10">
        <v>-24</v>
      </c>
      <c r="M181" s="10">
        <v>418</v>
      </c>
      <c r="N181" s="10">
        <f>IF(G181&lt;=Cutoffs!$B$4,4,IF(G181&lt;=Cutoffs!$C$4,3,IF(G181&lt;=Cutoffs!$D$4,2,1)))</f>
        <v>3</v>
      </c>
      <c r="O181" s="10">
        <f>IF(F181&gt;=Cutoffs!$D$5,4,IF(F181&gt;=Cutoffs!$C$5,3,IF(F181&gt;=Cutoffs!$B$5,2,1)))</f>
        <v>2</v>
      </c>
      <c r="P181" s="10">
        <f>IF(H181&gt;=Cutoffs!$D$6,4,IF(H181&gt;=Cutoffs!$C$6,3,IF(H181&gt;=Cutoffs!$B$6,2,1)))</f>
        <v>4</v>
      </c>
      <c r="Q181" s="10">
        <f t="shared" si="4"/>
        <v>9</v>
      </c>
      <c r="R181" s="10" t="str">
        <f t="shared" si="5"/>
        <v>Promising</v>
      </c>
    </row>
    <row r="182" spans="1:18" x14ac:dyDescent="0.55000000000000004">
      <c r="A182" s="10" t="s">
        <v>222</v>
      </c>
      <c r="B182" s="10" t="s">
        <v>43</v>
      </c>
      <c r="C182" s="10" t="s">
        <v>31</v>
      </c>
      <c r="D182" s="10" t="s">
        <v>36</v>
      </c>
      <c r="E182" s="10">
        <v>0</v>
      </c>
      <c r="F182" s="10">
        <v>88</v>
      </c>
      <c r="G182" s="10">
        <v>1</v>
      </c>
      <c r="H182" s="10">
        <v>2</v>
      </c>
      <c r="I182" s="11">
        <v>5.87</v>
      </c>
      <c r="J182" s="12">
        <v>0.443</v>
      </c>
      <c r="K182" s="11">
        <v>3.49</v>
      </c>
      <c r="L182" s="10">
        <v>88</v>
      </c>
      <c r="M182" s="10">
        <v>187</v>
      </c>
      <c r="N182" s="10">
        <f>IF(G182&lt;=Cutoffs!$B$4,4,IF(G182&lt;=Cutoffs!$C$4,3,IF(G182&lt;=Cutoffs!$D$4,2,1)))</f>
        <v>4</v>
      </c>
      <c r="O182" s="10">
        <f>IF(F182&gt;=Cutoffs!$D$5,4,IF(F182&gt;=Cutoffs!$C$5,3,IF(F182&gt;=Cutoffs!$B$5,2,1)))</f>
        <v>2</v>
      </c>
      <c r="P182" s="10">
        <f>IF(H182&gt;=Cutoffs!$D$6,4,IF(H182&gt;=Cutoffs!$C$6,3,IF(H182&gt;=Cutoffs!$B$6,2,1)))</f>
        <v>1</v>
      </c>
      <c r="Q182" s="10">
        <f t="shared" si="4"/>
        <v>7</v>
      </c>
      <c r="R182" s="10" t="str">
        <f t="shared" si="5"/>
        <v>Promising</v>
      </c>
    </row>
    <row r="183" spans="1:18" x14ac:dyDescent="0.55000000000000004">
      <c r="A183" s="10" t="s">
        <v>223</v>
      </c>
      <c r="B183" s="10" t="s">
        <v>34</v>
      </c>
      <c r="C183" s="10" t="s">
        <v>35</v>
      </c>
      <c r="D183" s="10" t="s">
        <v>44</v>
      </c>
      <c r="E183" s="10">
        <v>0</v>
      </c>
      <c r="F183" s="10">
        <v>101</v>
      </c>
      <c r="G183" s="10">
        <v>2</v>
      </c>
      <c r="H183" s="10">
        <v>12</v>
      </c>
      <c r="I183" s="11">
        <v>2.2000000000000002</v>
      </c>
      <c r="J183" s="12">
        <v>0.58399999999999996</v>
      </c>
      <c r="K183" s="11">
        <v>4.79</v>
      </c>
      <c r="L183" s="10">
        <v>51</v>
      </c>
      <c r="M183" s="10">
        <v>593</v>
      </c>
      <c r="N183" s="10">
        <f>IF(G183&lt;=Cutoffs!$B$4,4,IF(G183&lt;=Cutoffs!$C$4,3,IF(G183&lt;=Cutoffs!$D$4,2,1)))</f>
        <v>3</v>
      </c>
      <c r="O183" s="10">
        <f>IF(F183&gt;=Cutoffs!$D$5,4,IF(F183&gt;=Cutoffs!$C$5,3,IF(F183&gt;=Cutoffs!$B$5,2,1)))</f>
        <v>3</v>
      </c>
      <c r="P183" s="10">
        <f>IF(H183&gt;=Cutoffs!$D$6,4,IF(H183&gt;=Cutoffs!$C$6,3,IF(H183&gt;=Cutoffs!$B$6,2,1)))</f>
        <v>2</v>
      </c>
      <c r="Q183" s="10">
        <f t="shared" si="4"/>
        <v>8</v>
      </c>
      <c r="R183" s="10" t="str">
        <f t="shared" si="5"/>
        <v>Champions</v>
      </c>
    </row>
    <row r="184" spans="1:18" x14ac:dyDescent="0.55000000000000004">
      <c r="A184" s="10" t="s">
        <v>224</v>
      </c>
      <c r="B184" s="10" t="s">
        <v>30</v>
      </c>
      <c r="C184" s="10" t="s">
        <v>31</v>
      </c>
      <c r="D184" s="10" t="s">
        <v>39</v>
      </c>
      <c r="E184" s="10">
        <v>0</v>
      </c>
      <c r="F184" s="10">
        <v>65</v>
      </c>
      <c r="G184" s="10">
        <v>38</v>
      </c>
      <c r="H184" s="10">
        <v>17</v>
      </c>
      <c r="I184" s="11">
        <v>4.6399999999999997</v>
      </c>
      <c r="J184" s="12">
        <v>0.55400000000000005</v>
      </c>
      <c r="K184" s="11">
        <v>3.73</v>
      </c>
      <c r="L184" s="10">
        <v>63</v>
      </c>
      <c r="M184" s="10">
        <v>161</v>
      </c>
      <c r="N184" s="10">
        <f>IF(G184&lt;=Cutoffs!$B$4,4,IF(G184&lt;=Cutoffs!$C$4,3,IF(G184&lt;=Cutoffs!$D$4,2,1)))</f>
        <v>1</v>
      </c>
      <c r="O184" s="10">
        <f>IF(F184&gt;=Cutoffs!$D$5,4,IF(F184&gt;=Cutoffs!$C$5,3,IF(F184&gt;=Cutoffs!$B$5,2,1)))</f>
        <v>2</v>
      </c>
      <c r="P184" s="10">
        <f>IF(H184&gt;=Cutoffs!$D$6,4,IF(H184&gt;=Cutoffs!$C$6,3,IF(H184&gt;=Cutoffs!$B$6,2,1)))</f>
        <v>2</v>
      </c>
      <c r="Q184" s="10">
        <f t="shared" si="4"/>
        <v>5</v>
      </c>
      <c r="R184" s="10" t="str">
        <f t="shared" si="5"/>
        <v>Dormant</v>
      </c>
    </row>
    <row r="185" spans="1:18" x14ac:dyDescent="0.55000000000000004">
      <c r="A185" s="10" t="s">
        <v>225</v>
      </c>
      <c r="B185" s="10" t="s">
        <v>43</v>
      </c>
      <c r="C185" s="10" t="s">
        <v>31</v>
      </c>
      <c r="D185" s="10" t="s">
        <v>36</v>
      </c>
      <c r="E185" s="10">
        <v>0</v>
      </c>
      <c r="F185" s="10">
        <v>31</v>
      </c>
      <c r="G185" s="10">
        <v>4</v>
      </c>
      <c r="H185" s="10">
        <v>4</v>
      </c>
      <c r="I185" s="11">
        <v>2.38</v>
      </c>
      <c r="J185" s="12">
        <v>0.41899999999999998</v>
      </c>
      <c r="K185" s="11">
        <v>2.56</v>
      </c>
      <c r="L185" s="10">
        <v>1</v>
      </c>
      <c r="M185" s="10">
        <v>189</v>
      </c>
      <c r="N185" s="10">
        <f>IF(G185&lt;=Cutoffs!$B$4,4,IF(G185&lt;=Cutoffs!$C$4,3,IF(G185&lt;=Cutoffs!$D$4,2,1)))</f>
        <v>3</v>
      </c>
      <c r="O185" s="10">
        <f>IF(F185&gt;=Cutoffs!$D$5,4,IF(F185&gt;=Cutoffs!$C$5,3,IF(F185&gt;=Cutoffs!$B$5,2,1)))</f>
        <v>1</v>
      </c>
      <c r="P185" s="10">
        <f>IF(H185&gt;=Cutoffs!$D$6,4,IF(H185&gt;=Cutoffs!$C$6,3,IF(H185&gt;=Cutoffs!$B$6,2,1)))</f>
        <v>1</v>
      </c>
      <c r="Q185" s="10">
        <f t="shared" si="4"/>
        <v>5</v>
      </c>
      <c r="R185" s="10" t="str">
        <f t="shared" si="5"/>
        <v>Promising</v>
      </c>
    </row>
    <row r="186" spans="1:18" x14ac:dyDescent="0.55000000000000004">
      <c r="A186" s="10" t="s">
        <v>226</v>
      </c>
      <c r="B186" s="10" t="s">
        <v>34</v>
      </c>
      <c r="C186" s="10" t="s">
        <v>35</v>
      </c>
      <c r="D186" s="10" t="s">
        <v>36</v>
      </c>
      <c r="E186" s="10">
        <v>0</v>
      </c>
      <c r="F186" s="10">
        <v>196</v>
      </c>
      <c r="G186" s="10">
        <v>1</v>
      </c>
      <c r="H186" s="10">
        <v>27</v>
      </c>
      <c r="I186" s="11">
        <v>5.03</v>
      </c>
      <c r="J186" s="12">
        <v>0.52500000000000002</v>
      </c>
      <c r="K186" s="11">
        <v>2.67</v>
      </c>
      <c r="L186" s="10">
        <v>168</v>
      </c>
      <c r="M186" s="10">
        <v>457</v>
      </c>
      <c r="N186" s="10">
        <f>IF(G186&lt;=Cutoffs!$B$4,4,IF(G186&lt;=Cutoffs!$C$4,3,IF(G186&lt;=Cutoffs!$D$4,2,1)))</f>
        <v>4</v>
      </c>
      <c r="O186" s="10">
        <f>IF(F186&gt;=Cutoffs!$D$5,4,IF(F186&gt;=Cutoffs!$C$5,3,IF(F186&gt;=Cutoffs!$B$5,2,1)))</f>
        <v>4</v>
      </c>
      <c r="P186" s="10">
        <f>IF(H186&gt;=Cutoffs!$D$6,4,IF(H186&gt;=Cutoffs!$C$6,3,IF(H186&gt;=Cutoffs!$B$6,2,1)))</f>
        <v>3</v>
      </c>
      <c r="Q186" s="10">
        <f t="shared" si="4"/>
        <v>11</v>
      </c>
      <c r="R186" s="10" t="str">
        <f t="shared" si="5"/>
        <v>Champions</v>
      </c>
    </row>
    <row r="187" spans="1:18" x14ac:dyDescent="0.55000000000000004">
      <c r="A187" s="10" t="s">
        <v>227</v>
      </c>
      <c r="B187" s="10" t="s">
        <v>38</v>
      </c>
      <c r="C187" s="10" t="s">
        <v>35</v>
      </c>
      <c r="D187" s="10" t="s">
        <v>36</v>
      </c>
      <c r="E187" s="10">
        <v>0</v>
      </c>
      <c r="F187" s="10">
        <v>111</v>
      </c>
      <c r="G187" s="10">
        <v>8</v>
      </c>
      <c r="H187" s="10">
        <v>28</v>
      </c>
      <c r="I187" s="11">
        <v>2.85</v>
      </c>
      <c r="J187" s="12">
        <v>0.46</v>
      </c>
      <c r="K187" s="11">
        <v>3.04</v>
      </c>
      <c r="L187" s="10">
        <v>-79</v>
      </c>
      <c r="M187" s="10">
        <v>195</v>
      </c>
      <c r="N187" s="10">
        <f>IF(G187&lt;=Cutoffs!$B$4,4,IF(G187&lt;=Cutoffs!$C$4,3,IF(G187&lt;=Cutoffs!$D$4,2,1)))</f>
        <v>2</v>
      </c>
      <c r="O187" s="10">
        <f>IF(F187&gt;=Cutoffs!$D$5,4,IF(F187&gt;=Cutoffs!$C$5,3,IF(F187&gt;=Cutoffs!$B$5,2,1)))</f>
        <v>3</v>
      </c>
      <c r="P187" s="10">
        <f>IF(H187&gt;=Cutoffs!$D$6,4,IF(H187&gt;=Cutoffs!$C$6,3,IF(H187&gt;=Cutoffs!$B$6,2,1)))</f>
        <v>3</v>
      </c>
      <c r="Q187" s="10">
        <f t="shared" si="4"/>
        <v>8</v>
      </c>
      <c r="R187" s="10" t="str">
        <f t="shared" si="5"/>
        <v>At risk</v>
      </c>
    </row>
    <row r="188" spans="1:18" x14ac:dyDescent="0.55000000000000004">
      <c r="A188" s="10" t="s">
        <v>228</v>
      </c>
      <c r="B188" s="10" t="s">
        <v>58</v>
      </c>
      <c r="C188" s="10" t="s">
        <v>31</v>
      </c>
      <c r="D188" s="10" t="s">
        <v>39</v>
      </c>
      <c r="E188" s="10">
        <v>0</v>
      </c>
      <c r="F188" s="10">
        <v>43</v>
      </c>
      <c r="G188" s="10">
        <v>17</v>
      </c>
      <c r="H188" s="10">
        <v>14</v>
      </c>
      <c r="I188" s="11">
        <v>3.58</v>
      </c>
      <c r="J188" s="12">
        <v>0.41899999999999998</v>
      </c>
      <c r="K188" s="11">
        <v>2.34</v>
      </c>
      <c r="L188" s="10">
        <v>43</v>
      </c>
      <c r="M188" s="10">
        <v>66</v>
      </c>
      <c r="N188" s="10">
        <f>IF(G188&lt;=Cutoffs!$B$4,4,IF(G188&lt;=Cutoffs!$C$4,3,IF(G188&lt;=Cutoffs!$D$4,2,1)))</f>
        <v>2</v>
      </c>
      <c r="O188" s="10">
        <f>IF(F188&gt;=Cutoffs!$D$5,4,IF(F188&gt;=Cutoffs!$C$5,3,IF(F188&gt;=Cutoffs!$B$5,2,1)))</f>
        <v>1</v>
      </c>
      <c r="P188" s="10">
        <f>IF(H188&gt;=Cutoffs!$D$6,4,IF(H188&gt;=Cutoffs!$C$6,3,IF(H188&gt;=Cutoffs!$B$6,2,1)))</f>
        <v>2</v>
      </c>
      <c r="Q188" s="10">
        <f t="shared" si="4"/>
        <v>5</v>
      </c>
      <c r="R188" s="10" t="str">
        <f t="shared" si="5"/>
        <v>Cooling</v>
      </c>
    </row>
    <row r="189" spans="1:18" x14ac:dyDescent="0.55000000000000004">
      <c r="A189" s="10" t="s">
        <v>229</v>
      </c>
      <c r="B189" s="10" t="s">
        <v>58</v>
      </c>
      <c r="C189" s="10" t="s">
        <v>31</v>
      </c>
      <c r="D189" s="10" t="s">
        <v>41</v>
      </c>
      <c r="E189" s="10">
        <v>0</v>
      </c>
      <c r="F189" s="10">
        <v>111</v>
      </c>
      <c r="G189" s="10">
        <v>39</v>
      </c>
      <c r="H189" s="10">
        <v>32</v>
      </c>
      <c r="I189" s="11">
        <v>6.94</v>
      </c>
      <c r="J189" s="12">
        <v>0.40500000000000003</v>
      </c>
      <c r="K189" s="11">
        <v>2.88</v>
      </c>
      <c r="L189" s="10">
        <v>-43</v>
      </c>
      <c r="M189" s="10">
        <v>680</v>
      </c>
      <c r="N189" s="10">
        <f>IF(G189&lt;=Cutoffs!$B$4,4,IF(G189&lt;=Cutoffs!$C$4,3,IF(G189&lt;=Cutoffs!$D$4,2,1)))</f>
        <v>1</v>
      </c>
      <c r="O189" s="10">
        <f>IF(F189&gt;=Cutoffs!$D$5,4,IF(F189&gt;=Cutoffs!$C$5,3,IF(F189&gt;=Cutoffs!$B$5,2,1)))</f>
        <v>3</v>
      </c>
      <c r="P189" s="10">
        <f>IF(H189&gt;=Cutoffs!$D$6,4,IF(H189&gt;=Cutoffs!$C$6,3,IF(H189&gt;=Cutoffs!$B$6,2,1)))</f>
        <v>4</v>
      </c>
      <c r="Q189" s="10">
        <f t="shared" si="4"/>
        <v>8</v>
      </c>
      <c r="R189" s="10" t="str">
        <f t="shared" si="5"/>
        <v>At risk</v>
      </c>
    </row>
    <row r="190" spans="1:18" x14ac:dyDescent="0.55000000000000004">
      <c r="A190" s="10" t="s">
        <v>230</v>
      </c>
      <c r="B190" s="10" t="s">
        <v>43</v>
      </c>
      <c r="C190" s="10" t="s">
        <v>31</v>
      </c>
      <c r="D190" s="10" t="s">
        <v>39</v>
      </c>
      <c r="E190" s="10">
        <v>0</v>
      </c>
      <c r="F190" s="10">
        <v>193</v>
      </c>
      <c r="G190" s="10">
        <v>10</v>
      </c>
      <c r="H190" s="10">
        <v>62</v>
      </c>
      <c r="I190" s="11">
        <v>3.94</v>
      </c>
      <c r="J190" s="12">
        <v>0.51300000000000001</v>
      </c>
      <c r="K190" s="11">
        <v>3.06</v>
      </c>
      <c r="L190" s="10">
        <v>27</v>
      </c>
      <c r="M190" s="10">
        <v>237</v>
      </c>
      <c r="N190" s="10">
        <f>IF(G190&lt;=Cutoffs!$B$4,4,IF(G190&lt;=Cutoffs!$C$4,3,IF(G190&lt;=Cutoffs!$D$4,2,1)))</f>
        <v>2</v>
      </c>
      <c r="O190" s="10">
        <f>IF(F190&gt;=Cutoffs!$D$5,4,IF(F190&gt;=Cutoffs!$C$5,3,IF(F190&gt;=Cutoffs!$B$5,2,1)))</f>
        <v>4</v>
      </c>
      <c r="P190" s="10">
        <f>IF(H190&gt;=Cutoffs!$D$6,4,IF(H190&gt;=Cutoffs!$C$6,3,IF(H190&gt;=Cutoffs!$B$6,2,1)))</f>
        <v>4</v>
      </c>
      <c r="Q190" s="10">
        <f t="shared" si="4"/>
        <v>10</v>
      </c>
      <c r="R190" s="10" t="str">
        <f t="shared" si="5"/>
        <v>At risk</v>
      </c>
    </row>
    <row r="191" spans="1:18" x14ac:dyDescent="0.55000000000000004">
      <c r="A191" s="10" t="s">
        <v>231</v>
      </c>
      <c r="B191" s="10" t="s">
        <v>38</v>
      </c>
      <c r="C191" s="10" t="s">
        <v>35</v>
      </c>
      <c r="D191" s="10" t="s">
        <v>36</v>
      </c>
      <c r="E191" s="10">
        <v>1</v>
      </c>
      <c r="F191" s="10">
        <v>118</v>
      </c>
      <c r="G191" s="10">
        <v>15</v>
      </c>
      <c r="H191" s="10">
        <v>22</v>
      </c>
      <c r="I191" s="11">
        <v>3.69</v>
      </c>
      <c r="J191" s="12">
        <v>0.441</v>
      </c>
      <c r="K191" s="11">
        <v>2.79</v>
      </c>
      <c r="L191" s="10">
        <v>46</v>
      </c>
      <c r="M191" s="10">
        <v>842</v>
      </c>
      <c r="N191" s="10">
        <f>IF(G191&lt;=Cutoffs!$B$4,4,IF(G191&lt;=Cutoffs!$C$4,3,IF(G191&lt;=Cutoffs!$D$4,2,1)))</f>
        <v>2</v>
      </c>
      <c r="O191" s="10">
        <f>IF(F191&gt;=Cutoffs!$D$5,4,IF(F191&gt;=Cutoffs!$C$5,3,IF(F191&gt;=Cutoffs!$B$5,2,1)))</f>
        <v>3</v>
      </c>
      <c r="P191" s="10">
        <f>IF(H191&gt;=Cutoffs!$D$6,4,IF(H191&gt;=Cutoffs!$C$6,3,IF(H191&gt;=Cutoffs!$B$6,2,1)))</f>
        <v>3</v>
      </c>
      <c r="Q191" s="10">
        <f t="shared" si="4"/>
        <v>8</v>
      </c>
      <c r="R191" s="10" t="str">
        <f t="shared" si="5"/>
        <v>At risk</v>
      </c>
    </row>
    <row r="192" spans="1:18" x14ac:dyDescent="0.55000000000000004">
      <c r="A192" s="10" t="s">
        <v>232</v>
      </c>
      <c r="B192" s="10" t="s">
        <v>30</v>
      </c>
      <c r="C192" s="10" t="s">
        <v>31</v>
      </c>
      <c r="D192" s="10" t="s">
        <v>44</v>
      </c>
      <c r="E192" s="10">
        <v>1</v>
      </c>
      <c r="F192" s="10">
        <v>43</v>
      </c>
      <c r="G192" s="10">
        <v>8</v>
      </c>
      <c r="H192" s="10">
        <v>23</v>
      </c>
      <c r="I192" s="11">
        <v>1.79</v>
      </c>
      <c r="J192" s="12">
        <v>0.39500000000000002</v>
      </c>
      <c r="K192" s="11">
        <v>1.86</v>
      </c>
      <c r="L192" s="10">
        <v>-1</v>
      </c>
      <c r="M192" s="10">
        <v>377</v>
      </c>
      <c r="N192" s="10">
        <f>IF(G192&lt;=Cutoffs!$B$4,4,IF(G192&lt;=Cutoffs!$C$4,3,IF(G192&lt;=Cutoffs!$D$4,2,1)))</f>
        <v>2</v>
      </c>
      <c r="O192" s="10">
        <f>IF(F192&gt;=Cutoffs!$D$5,4,IF(F192&gt;=Cutoffs!$C$5,3,IF(F192&gt;=Cutoffs!$B$5,2,1)))</f>
        <v>1</v>
      </c>
      <c r="P192" s="10">
        <f>IF(H192&gt;=Cutoffs!$D$6,4,IF(H192&gt;=Cutoffs!$C$6,3,IF(H192&gt;=Cutoffs!$B$6,2,1)))</f>
        <v>3</v>
      </c>
      <c r="Q192" s="10">
        <f t="shared" si="4"/>
        <v>6</v>
      </c>
      <c r="R192" s="10" t="str">
        <f t="shared" si="5"/>
        <v>Cooling</v>
      </c>
    </row>
    <row r="193" spans="1:18" x14ac:dyDescent="0.55000000000000004">
      <c r="A193" s="10" t="s">
        <v>233</v>
      </c>
      <c r="B193" s="10" t="s">
        <v>38</v>
      </c>
      <c r="C193" s="10" t="s">
        <v>35</v>
      </c>
      <c r="D193" s="10" t="s">
        <v>41</v>
      </c>
      <c r="E193" s="10">
        <v>0</v>
      </c>
      <c r="F193" s="10">
        <v>58</v>
      </c>
      <c r="G193" s="10">
        <v>1</v>
      </c>
      <c r="H193" s="10">
        <v>20</v>
      </c>
      <c r="I193" s="11">
        <v>2.9</v>
      </c>
      <c r="J193" s="12">
        <v>0.53400000000000003</v>
      </c>
      <c r="K193" s="11">
        <v>4.18</v>
      </c>
      <c r="L193" s="10">
        <v>-28</v>
      </c>
      <c r="M193" s="10">
        <v>610</v>
      </c>
      <c r="N193" s="10">
        <f>IF(G193&lt;=Cutoffs!$B$4,4,IF(G193&lt;=Cutoffs!$C$4,3,IF(G193&lt;=Cutoffs!$D$4,2,1)))</f>
        <v>4</v>
      </c>
      <c r="O193" s="10">
        <f>IF(F193&gt;=Cutoffs!$D$5,4,IF(F193&gt;=Cutoffs!$C$5,3,IF(F193&gt;=Cutoffs!$B$5,2,1)))</f>
        <v>2</v>
      </c>
      <c r="P193" s="10">
        <f>IF(H193&gt;=Cutoffs!$D$6,4,IF(H193&gt;=Cutoffs!$C$6,3,IF(H193&gt;=Cutoffs!$B$6,2,1)))</f>
        <v>3</v>
      </c>
      <c r="Q193" s="10">
        <f t="shared" si="4"/>
        <v>9</v>
      </c>
      <c r="R193" s="10" t="str">
        <f t="shared" si="5"/>
        <v>Promising</v>
      </c>
    </row>
    <row r="194" spans="1:18" x14ac:dyDescent="0.55000000000000004">
      <c r="A194" s="10" t="s">
        <v>234</v>
      </c>
      <c r="B194" s="10" t="s">
        <v>47</v>
      </c>
      <c r="C194" s="10" t="s">
        <v>35</v>
      </c>
      <c r="D194" s="10" t="s">
        <v>39</v>
      </c>
      <c r="E194" s="10">
        <v>0</v>
      </c>
      <c r="F194" s="10">
        <v>102</v>
      </c>
      <c r="G194" s="10">
        <v>1</v>
      </c>
      <c r="H194" s="10">
        <v>13</v>
      </c>
      <c r="I194" s="11">
        <v>2.27</v>
      </c>
      <c r="J194" s="12">
        <v>0.52900000000000003</v>
      </c>
      <c r="K194" s="11">
        <v>3.02</v>
      </c>
      <c r="L194" s="10">
        <v>-60</v>
      </c>
      <c r="M194" s="10">
        <v>672</v>
      </c>
      <c r="N194" s="10">
        <f>IF(G194&lt;=Cutoffs!$B$4,4,IF(G194&lt;=Cutoffs!$C$4,3,IF(G194&lt;=Cutoffs!$D$4,2,1)))</f>
        <v>4</v>
      </c>
      <c r="O194" s="10">
        <f>IF(F194&gt;=Cutoffs!$D$5,4,IF(F194&gt;=Cutoffs!$C$5,3,IF(F194&gt;=Cutoffs!$B$5,2,1)))</f>
        <v>3</v>
      </c>
      <c r="P194" s="10">
        <f>IF(H194&gt;=Cutoffs!$D$6,4,IF(H194&gt;=Cutoffs!$C$6,3,IF(H194&gt;=Cutoffs!$B$6,2,1)))</f>
        <v>2</v>
      </c>
      <c r="Q194" s="10">
        <f t="shared" ref="Q194:Q257" si="6">N194+O194+P194</f>
        <v>9</v>
      </c>
      <c r="R194" s="10" t="str">
        <f t="shared" ref="R194:R257" si="7">IF(AND(N194&gt;=3,O194&gt;=3),"Champions",IF(N194&gt;=3,"Promising",IF(AND(O194&gt;=3,N194&lt;=2),"At risk",IF(N194=2,"Cooling","Dormant"))))</f>
        <v>Champions</v>
      </c>
    </row>
    <row r="195" spans="1:18" x14ac:dyDescent="0.55000000000000004">
      <c r="A195" s="10" t="s">
        <v>235</v>
      </c>
      <c r="B195" s="10" t="s">
        <v>30</v>
      </c>
      <c r="C195" s="10" t="s">
        <v>31</v>
      </c>
      <c r="D195" s="10" t="s">
        <v>36</v>
      </c>
      <c r="E195" s="10">
        <v>0</v>
      </c>
      <c r="F195" s="10">
        <v>37</v>
      </c>
      <c r="G195" s="10">
        <v>24</v>
      </c>
      <c r="H195" s="10">
        <v>11</v>
      </c>
      <c r="I195" s="11">
        <v>1.76</v>
      </c>
      <c r="J195" s="12">
        <v>0.64900000000000002</v>
      </c>
      <c r="K195" s="11">
        <v>4.67</v>
      </c>
      <c r="L195" s="10">
        <v>-1</v>
      </c>
      <c r="M195" s="10">
        <v>348</v>
      </c>
      <c r="N195" s="10">
        <f>IF(G195&lt;=Cutoffs!$B$4,4,IF(G195&lt;=Cutoffs!$C$4,3,IF(G195&lt;=Cutoffs!$D$4,2,1)))</f>
        <v>1</v>
      </c>
      <c r="O195" s="10">
        <f>IF(F195&gt;=Cutoffs!$D$5,4,IF(F195&gt;=Cutoffs!$C$5,3,IF(F195&gt;=Cutoffs!$B$5,2,1)))</f>
        <v>1</v>
      </c>
      <c r="P195" s="10">
        <f>IF(H195&gt;=Cutoffs!$D$6,4,IF(H195&gt;=Cutoffs!$C$6,3,IF(H195&gt;=Cutoffs!$B$6,2,1)))</f>
        <v>2</v>
      </c>
      <c r="Q195" s="10">
        <f t="shared" si="6"/>
        <v>4</v>
      </c>
      <c r="R195" s="10" t="str">
        <f t="shared" si="7"/>
        <v>Dormant</v>
      </c>
    </row>
    <row r="196" spans="1:18" x14ac:dyDescent="0.55000000000000004">
      <c r="A196" s="10" t="s">
        <v>236</v>
      </c>
      <c r="B196" s="10" t="s">
        <v>43</v>
      </c>
      <c r="C196" s="10" t="s">
        <v>31</v>
      </c>
      <c r="D196" s="10" t="s">
        <v>41</v>
      </c>
      <c r="E196" s="10">
        <v>0</v>
      </c>
      <c r="F196" s="10">
        <v>193</v>
      </c>
      <c r="G196" s="10">
        <v>6</v>
      </c>
      <c r="H196" s="10">
        <v>5</v>
      </c>
      <c r="I196" s="11">
        <v>5.68</v>
      </c>
      <c r="J196" s="12">
        <v>0.49199999999999999</v>
      </c>
      <c r="K196" s="11">
        <v>3.25</v>
      </c>
      <c r="L196" s="10">
        <v>193</v>
      </c>
      <c r="M196" s="10">
        <v>1971</v>
      </c>
      <c r="N196" s="10">
        <f>IF(G196&lt;=Cutoffs!$B$4,4,IF(G196&lt;=Cutoffs!$C$4,3,IF(G196&lt;=Cutoffs!$D$4,2,1)))</f>
        <v>3</v>
      </c>
      <c r="O196" s="10">
        <f>IF(F196&gt;=Cutoffs!$D$5,4,IF(F196&gt;=Cutoffs!$C$5,3,IF(F196&gt;=Cutoffs!$B$5,2,1)))</f>
        <v>4</v>
      </c>
      <c r="P196" s="10">
        <f>IF(H196&gt;=Cutoffs!$D$6,4,IF(H196&gt;=Cutoffs!$C$6,3,IF(H196&gt;=Cutoffs!$B$6,2,1)))</f>
        <v>1</v>
      </c>
      <c r="Q196" s="10">
        <f t="shared" si="6"/>
        <v>8</v>
      </c>
      <c r="R196" s="10" t="str">
        <f t="shared" si="7"/>
        <v>Champions</v>
      </c>
    </row>
    <row r="197" spans="1:18" x14ac:dyDescent="0.55000000000000004">
      <c r="A197" s="10" t="s">
        <v>237</v>
      </c>
      <c r="B197" s="10" t="s">
        <v>43</v>
      </c>
      <c r="C197" s="10" t="s">
        <v>31</v>
      </c>
      <c r="D197" s="10" t="s">
        <v>44</v>
      </c>
      <c r="E197" s="10">
        <v>0</v>
      </c>
      <c r="F197" s="10">
        <v>72</v>
      </c>
      <c r="G197" s="10">
        <v>1</v>
      </c>
      <c r="H197" s="10">
        <v>25</v>
      </c>
      <c r="I197" s="11">
        <v>4.5</v>
      </c>
      <c r="J197" s="12">
        <v>0.45800000000000002</v>
      </c>
      <c r="K197" s="11">
        <v>2.2999999999999998</v>
      </c>
      <c r="L197" s="10">
        <v>72</v>
      </c>
      <c r="M197" s="10">
        <v>239</v>
      </c>
      <c r="N197" s="10">
        <f>IF(G197&lt;=Cutoffs!$B$4,4,IF(G197&lt;=Cutoffs!$C$4,3,IF(G197&lt;=Cutoffs!$D$4,2,1)))</f>
        <v>4</v>
      </c>
      <c r="O197" s="10">
        <f>IF(F197&gt;=Cutoffs!$D$5,4,IF(F197&gt;=Cutoffs!$C$5,3,IF(F197&gt;=Cutoffs!$B$5,2,1)))</f>
        <v>2</v>
      </c>
      <c r="P197" s="10">
        <f>IF(H197&gt;=Cutoffs!$D$6,4,IF(H197&gt;=Cutoffs!$C$6,3,IF(H197&gt;=Cutoffs!$B$6,2,1)))</f>
        <v>3</v>
      </c>
      <c r="Q197" s="10">
        <f t="shared" si="6"/>
        <v>9</v>
      </c>
      <c r="R197" s="10" t="str">
        <f t="shared" si="7"/>
        <v>Promising</v>
      </c>
    </row>
    <row r="198" spans="1:18" x14ac:dyDescent="0.55000000000000004">
      <c r="A198" s="10" t="s">
        <v>238</v>
      </c>
      <c r="B198" s="10" t="s">
        <v>38</v>
      </c>
      <c r="C198" s="10" t="s">
        <v>35</v>
      </c>
      <c r="D198" s="10" t="s">
        <v>36</v>
      </c>
      <c r="E198" s="10">
        <v>0</v>
      </c>
      <c r="F198" s="10">
        <v>200</v>
      </c>
      <c r="G198" s="10">
        <v>1</v>
      </c>
      <c r="H198" s="10">
        <v>42</v>
      </c>
      <c r="I198" s="11">
        <v>3.12</v>
      </c>
      <c r="J198" s="12">
        <v>0.49</v>
      </c>
      <c r="K198" s="11">
        <v>2.4300000000000002</v>
      </c>
      <c r="L198" s="10">
        <v>-64</v>
      </c>
      <c r="M198" s="10">
        <v>564</v>
      </c>
      <c r="N198" s="10">
        <f>IF(G198&lt;=Cutoffs!$B$4,4,IF(G198&lt;=Cutoffs!$C$4,3,IF(G198&lt;=Cutoffs!$D$4,2,1)))</f>
        <v>4</v>
      </c>
      <c r="O198" s="10">
        <f>IF(F198&gt;=Cutoffs!$D$5,4,IF(F198&gt;=Cutoffs!$C$5,3,IF(F198&gt;=Cutoffs!$B$5,2,1)))</f>
        <v>4</v>
      </c>
      <c r="P198" s="10">
        <f>IF(H198&gt;=Cutoffs!$D$6,4,IF(H198&gt;=Cutoffs!$C$6,3,IF(H198&gt;=Cutoffs!$B$6,2,1)))</f>
        <v>4</v>
      </c>
      <c r="Q198" s="10">
        <f t="shared" si="6"/>
        <v>12</v>
      </c>
      <c r="R198" s="10" t="str">
        <f t="shared" si="7"/>
        <v>Champions</v>
      </c>
    </row>
    <row r="199" spans="1:18" x14ac:dyDescent="0.55000000000000004">
      <c r="A199" s="10" t="s">
        <v>239</v>
      </c>
      <c r="B199" s="10" t="s">
        <v>34</v>
      </c>
      <c r="C199" s="10" t="s">
        <v>35</v>
      </c>
      <c r="D199" s="10" t="s">
        <v>32</v>
      </c>
      <c r="E199" s="10">
        <v>0</v>
      </c>
      <c r="F199" s="10">
        <v>138</v>
      </c>
      <c r="G199" s="10">
        <v>2</v>
      </c>
      <c r="H199" s="10">
        <v>44</v>
      </c>
      <c r="I199" s="11">
        <v>5.52</v>
      </c>
      <c r="J199" s="12">
        <v>0.55800000000000005</v>
      </c>
      <c r="K199" s="11">
        <v>3.42</v>
      </c>
      <c r="L199" s="10">
        <v>138</v>
      </c>
      <c r="M199" s="10">
        <v>88</v>
      </c>
      <c r="N199" s="10">
        <f>IF(G199&lt;=Cutoffs!$B$4,4,IF(G199&lt;=Cutoffs!$C$4,3,IF(G199&lt;=Cutoffs!$D$4,2,1)))</f>
        <v>3</v>
      </c>
      <c r="O199" s="10">
        <f>IF(F199&gt;=Cutoffs!$D$5,4,IF(F199&gt;=Cutoffs!$C$5,3,IF(F199&gt;=Cutoffs!$B$5,2,1)))</f>
        <v>3</v>
      </c>
      <c r="P199" s="10">
        <f>IF(H199&gt;=Cutoffs!$D$6,4,IF(H199&gt;=Cutoffs!$C$6,3,IF(H199&gt;=Cutoffs!$B$6,2,1)))</f>
        <v>4</v>
      </c>
      <c r="Q199" s="10">
        <f t="shared" si="6"/>
        <v>10</v>
      </c>
      <c r="R199" s="10" t="str">
        <f t="shared" si="7"/>
        <v>Champions</v>
      </c>
    </row>
    <row r="200" spans="1:18" x14ac:dyDescent="0.55000000000000004">
      <c r="A200" s="10" t="s">
        <v>240</v>
      </c>
      <c r="B200" s="10" t="s">
        <v>47</v>
      </c>
      <c r="C200" s="10" t="s">
        <v>35</v>
      </c>
      <c r="D200" s="10" t="s">
        <v>41</v>
      </c>
      <c r="E200" s="10">
        <v>0</v>
      </c>
      <c r="F200" s="10">
        <v>198</v>
      </c>
      <c r="G200" s="10">
        <v>2</v>
      </c>
      <c r="H200" s="10">
        <v>30</v>
      </c>
      <c r="I200" s="11">
        <v>6.6</v>
      </c>
      <c r="J200" s="12">
        <v>0.5</v>
      </c>
      <c r="K200" s="11">
        <v>3.23</v>
      </c>
      <c r="L200" s="10">
        <v>198</v>
      </c>
      <c r="M200" s="10">
        <v>367</v>
      </c>
      <c r="N200" s="10">
        <f>IF(G200&lt;=Cutoffs!$B$4,4,IF(G200&lt;=Cutoffs!$C$4,3,IF(G200&lt;=Cutoffs!$D$4,2,1)))</f>
        <v>3</v>
      </c>
      <c r="O200" s="10">
        <f>IF(F200&gt;=Cutoffs!$D$5,4,IF(F200&gt;=Cutoffs!$C$5,3,IF(F200&gt;=Cutoffs!$B$5,2,1)))</f>
        <v>4</v>
      </c>
      <c r="P200" s="10">
        <f>IF(H200&gt;=Cutoffs!$D$6,4,IF(H200&gt;=Cutoffs!$C$6,3,IF(H200&gt;=Cutoffs!$B$6,2,1)))</f>
        <v>4</v>
      </c>
      <c r="Q200" s="10">
        <f t="shared" si="6"/>
        <v>11</v>
      </c>
      <c r="R200" s="10" t="str">
        <f t="shared" si="7"/>
        <v>Champions</v>
      </c>
    </row>
    <row r="201" spans="1:18" x14ac:dyDescent="0.55000000000000004">
      <c r="A201" s="10" t="s">
        <v>241</v>
      </c>
      <c r="B201" s="10" t="s">
        <v>30</v>
      </c>
      <c r="C201" s="10" t="s">
        <v>31</v>
      </c>
      <c r="D201" s="10" t="s">
        <v>39</v>
      </c>
      <c r="E201" s="10">
        <v>0</v>
      </c>
      <c r="F201" s="10">
        <v>184</v>
      </c>
      <c r="G201" s="10">
        <v>47</v>
      </c>
      <c r="H201" s="10">
        <v>36</v>
      </c>
      <c r="I201" s="11">
        <v>3.02</v>
      </c>
      <c r="J201" s="12">
        <v>0.5</v>
      </c>
      <c r="K201" s="11">
        <v>3.34</v>
      </c>
      <c r="L201" s="10">
        <v>-112</v>
      </c>
      <c r="M201" s="10">
        <v>377</v>
      </c>
      <c r="N201" s="10">
        <f>IF(G201&lt;=Cutoffs!$B$4,4,IF(G201&lt;=Cutoffs!$C$4,3,IF(G201&lt;=Cutoffs!$D$4,2,1)))</f>
        <v>1</v>
      </c>
      <c r="O201" s="10">
        <f>IF(F201&gt;=Cutoffs!$D$5,4,IF(F201&gt;=Cutoffs!$C$5,3,IF(F201&gt;=Cutoffs!$B$5,2,1)))</f>
        <v>4</v>
      </c>
      <c r="P201" s="10">
        <f>IF(H201&gt;=Cutoffs!$D$6,4,IF(H201&gt;=Cutoffs!$C$6,3,IF(H201&gt;=Cutoffs!$B$6,2,1)))</f>
        <v>4</v>
      </c>
      <c r="Q201" s="10">
        <f t="shared" si="6"/>
        <v>9</v>
      </c>
      <c r="R201" s="10" t="str">
        <f t="shared" si="7"/>
        <v>At risk</v>
      </c>
    </row>
    <row r="202" spans="1:18" x14ac:dyDescent="0.55000000000000004">
      <c r="A202" s="10" t="s">
        <v>242</v>
      </c>
      <c r="B202" s="10" t="s">
        <v>47</v>
      </c>
      <c r="C202" s="10" t="s">
        <v>35</v>
      </c>
      <c r="D202" s="10" t="s">
        <v>41</v>
      </c>
      <c r="E202" s="10">
        <v>0</v>
      </c>
      <c r="F202" s="10">
        <v>149</v>
      </c>
      <c r="G202" s="10">
        <v>1</v>
      </c>
      <c r="H202" s="10">
        <v>16</v>
      </c>
      <c r="I202" s="11">
        <v>2.98</v>
      </c>
      <c r="J202" s="12">
        <v>0.54400000000000004</v>
      </c>
      <c r="K202" s="11">
        <v>3.12</v>
      </c>
      <c r="L202" s="10">
        <v>-41</v>
      </c>
      <c r="M202" s="10">
        <v>350</v>
      </c>
      <c r="N202" s="10">
        <f>IF(G202&lt;=Cutoffs!$B$4,4,IF(G202&lt;=Cutoffs!$C$4,3,IF(G202&lt;=Cutoffs!$D$4,2,1)))</f>
        <v>4</v>
      </c>
      <c r="O202" s="10">
        <f>IF(F202&gt;=Cutoffs!$D$5,4,IF(F202&gt;=Cutoffs!$C$5,3,IF(F202&gt;=Cutoffs!$B$5,2,1)))</f>
        <v>3</v>
      </c>
      <c r="P202" s="10">
        <f>IF(H202&gt;=Cutoffs!$D$6,4,IF(H202&gt;=Cutoffs!$C$6,3,IF(H202&gt;=Cutoffs!$B$6,2,1)))</f>
        <v>2</v>
      </c>
      <c r="Q202" s="10">
        <f t="shared" si="6"/>
        <v>9</v>
      </c>
      <c r="R202" s="10" t="str">
        <f t="shared" si="7"/>
        <v>Champions</v>
      </c>
    </row>
    <row r="203" spans="1:18" x14ac:dyDescent="0.55000000000000004">
      <c r="A203" s="10" t="s">
        <v>243</v>
      </c>
      <c r="B203" s="10" t="s">
        <v>34</v>
      </c>
      <c r="C203" s="10" t="s">
        <v>35</v>
      </c>
      <c r="D203" s="10" t="s">
        <v>36</v>
      </c>
      <c r="E203" s="10">
        <v>0</v>
      </c>
      <c r="F203" s="10">
        <v>106</v>
      </c>
      <c r="G203" s="10">
        <v>2</v>
      </c>
      <c r="H203" s="10">
        <v>12</v>
      </c>
      <c r="I203" s="11">
        <v>3.53</v>
      </c>
      <c r="J203" s="12">
        <v>0.50900000000000001</v>
      </c>
      <c r="K203" s="11">
        <v>3.33</v>
      </c>
      <c r="L203" s="10">
        <v>54</v>
      </c>
      <c r="M203" s="10">
        <v>513</v>
      </c>
      <c r="N203" s="10">
        <f>IF(G203&lt;=Cutoffs!$B$4,4,IF(G203&lt;=Cutoffs!$C$4,3,IF(G203&lt;=Cutoffs!$D$4,2,1)))</f>
        <v>3</v>
      </c>
      <c r="O203" s="10">
        <f>IF(F203&gt;=Cutoffs!$D$5,4,IF(F203&gt;=Cutoffs!$C$5,3,IF(F203&gt;=Cutoffs!$B$5,2,1)))</f>
        <v>3</v>
      </c>
      <c r="P203" s="10">
        <f>IF(H203&gt;=Cutoffs!$D$6,4,IF(H203&gt;=Cutoffs!$C$6,3,IF(H203&gt;=Cutoffs!$B$6,2,1)))</f>
        <v>2</v>
      </c>
      <c r="Q203" s="10">
        <f t="shared" si="6"/>
        <v>8</v>
      </c>
      <c r="R203" s="10" t="str">
        <f t="shared" si="7"/>
        <v>Champions</v>
      </c>
    </row>
    <row r="204" spans="1:18" x14ac:dyDescent="0.55000000000000004">
      <c r="A204" s="10" t="s">
        <v>244</v>
      </c>
      <c r="B204" s="10" t="s">
        <v>34</v>
      </c>
      <c r="C204" s="10" t="s">
        <v>35</v>
      </c>
      <c r="D204" s="10" t="s">
        <v>39</v>
      </c>
      <c r="E204" s="10">
        <v>0</v>
      </c>
      <c r="F204" s="10">
        <v>39</v>
      </c>
      <c r="G204" s="10">
        <v>2</v>
      </c>
      <c r="H204" s="10">
        <v>16</v>
      </c>
      <c r="I204" s="11">
        <v>2.6</v>
      </c>
      <c r="J204" s="12">
        <v>0.436</v>
      </c>
      <c r="K204" s="11">
        <v>2.62</v>
      </c>
      <c r="L204" s="10">
        <v>39</v>
      </c>
      <c r="M204" s="10">
        <v>357</v>
      </c>
      <c r="N204" s="10">
        <f>IF(G204&lt;=Cutoffs!$B$4,4,IF(G204&lt;=Cutoffs!$C$4,3,IF(G204&lt;=Cutoffs!$D$4,2,1)))</f>
        <v>3</v>
      </c>
      <c r="O204" s="10">
        <f>IF(F204&gt;=Cutoffs!$D$5,4,IF(F204&gt;=Cutoffs!$C$5,3,IF(F204&gt;=Cutoffs!$B$5,2,1)))</f>
        <v>1</v>
      </c>
      <c r="P204" s="10">
        <f>IF(H204&gt;=Cutoffs!$D$6,4,IF(H204&gt;=Cutoffs!$C$6,3,IF(H204&gt;=Cutoffs!$B$6,2,1)))</f>
        <v>2</v>
      </c>
      <c r="Q204" s="10">
        <f t="shared" si="6"/>
        <v>6</v>
      </c>
      <c r="R204" s="10" t="str">
        <f t="shared" si="7"/>
        <v>Promising</v>
      </c>
    </row>
    <row r="205" spans="1:18" x14ac:dyDescent="0.55000000000000004">
      <c r="A205" s="10" t="s">
        <v>245</v>
      </c>
      <c r="B205" s="10" t="s">
        <v>47</v>
      </c>
      <c r="C205" s="10" t="s">
        <v>35</v>
      </c>
      <c r="D205" s="10" t="s">
        <v>44</v>
      </c>
      <c r="E205" s="10">
        <v>0</v>
      </c>
      <c r="F205" s="10">
        <v>43</v>
      </c>
      <c r="G205" s="10">
        <v>24</v>
      </c>
      <c r="H205" s="10">
        <v>8</v>
      </c>
      <c r="I205" s="11">
        <v>2.5299999999999998</v>
      </c>
      <c r="J205" s="12">
        <v>0.628</v>
      </c>
      <c r="K205" s="11">
        <v>1.6</v>
      </c>
      <c r="L205" s="10">
        <v>-29</v>
      </c>
      <c r="M205" s="10">
        <v>653</v>
      </c>
      <c r="N205" s="10">
        <f>IF(G205&lt;=Cutoffs!$B$4,4,IF(G205&lt;=Cutoffs!$C$4,3,IF(G205&lt;=Cutoffs!$D$4,2,1)))</f>
        <v>1</v>
      </c>
      <c r="O205" s="10">
        <f>IF(F205&gt;=Cutoffs!$D$5,4,IF(F205&gt;=Cutoffs!$C$5,3,IF(F205&gt;=Cutoffs!$B$5,2,1)))</f>
        <v>1</v>
      </c>
      <c r="P205" s="10">
        <f>IF(H205&gt;=Cutoffs!$D$6,4,IF(H205&gt;=Cutoffs!$C$6,3,IF(H205&gt;=Cutoffs!$B$6,2,1)))</f>
        <v>1</v>
      </c>
      <c r="Q205" s="10">
        <f t="shared" si="6"/>
        <v>3</v>
      </c>
      <c r="R205" s="10" t="str">
        <f t="shared" si="7"/>
        <v>Dormant</v>
      </c>
    </row>
    <row r="206" spans="1:18" x14ac:dyDescent="0.55000000000000004">
      <c r="A206" s="10" t="s">
        <v>246</v>
      </c>
      <c r="B206" s="10" t="s">
        <v>58</v>
      </c>
      <c r="C206" s="10" t="s">
        <v>31</v>
      </c>
      <c r="D206" s="10" t="s">
        <v>39</v>
      </c>
      <c r="E206" s="10">
        <v>1</v>
      </c>
      <c r="F206" s="10">
        <v>192</v>
      </c>
      <c r="G206" s="10">
        <v>3</v>
      </c>
      <c r="H206" s="10">
        <v>37</v>
      </c>
      <c r="I206" s="11">
        <v>11.29</v>
      </c>
      <c r="J206" s="12">
        <v>0.42699999999999999</v>
      </c>
      <c r="K206" s="11">
        <v>1.94</v>
      </c>
      <c r="L206" s="10">
        <v>192</v>
      </c>
      <c r="M206" s="10">
        <v>145</v>
      </c>
      <c r="N206" s="10">
        <f>IF(G206&lt;=Cutoffs!$B$4,4,IF(G206&lt;=Cutoffs!$C$4,3,IF(G206&lt;=Cutoffs!$D$4,2,1)))</f>
        <v>3</v>
      </c>
      <c r="O206" s="10">
        <f>IF(F206&gt;=Cutoffs!$D$5,4,IF(F206&gt;=Cutoffs!$C$5,3,IF(F206&gt;=Cutoffs!$B$5,2,1)))</f>
        <v>4</v>
      </c>
      <c r="P206" s="10">
        <f>IF(H206&gt;=Cutoffs!$D$6,4,IF(H206&gt;=Cutoffs!$C$6,3,IF(H206&gt;=Cutoffs!$B$6,2,1)))</f>
        <v>4</v>
      </c>
      <c r="Q206" s="10">
        <f t="shared" si="6"/>
        <v>11</v>
      </c>
      <c r="R206" s="10" t="str">
        <f t="shared" si="7"/>
        <v>Champions</v>
      </c>
    </row>
    <row r="207" spans="1:18" x14ac:dyDescent="0.55000000000000004">
      <c r="A207" s="10" t="s">
        <v>247</v>
      </c>
      <c r="B207" s="10" t="s">
        <v>47</v>
      </c>
      <c r="C207" s="10" t="s">
        <v>35</v>
      </c>
      <c r="D207" s="10" t="s">
        <v>44</v>
      </c>
      <c r="E207" s="10">
        <v>1</v>
      </c>
      <c r="F207" s="10">
        <v>87</v>
      </c>
      <c r="G207" s="10">
        <v>41</v>
      </c>
      <c r="H207" s="10">
        <v>8</v>
      </c>
      <c r="I207" s="11">
        <v>5.12</v>
      </c>
      <c r="J207" s="12">
        <v>0.57499999999999996</v>
      </c>
      <c r="K207" s="11">
        <v>3.17</v>
      </c>
      <c r="L207" s="10">
        <v>-79</v>
      </c>
      <c r="M207" s="10">
        <v>785</v>
      </c>
      <c r="N207" s="10">
        <f>IF(G207&lt;=Cutoffs!$B$4,4,IF(G207&lt;=Cutoffs!$C$4,3,IF(G207&lt;=Cutoffs!$D$4,2,1)))</f>
        <v>1</v>
      </c>
      <c r="O207" s="10">
        <f>IF(F207&gt;=Cutoffs!$D$5,4,IF(F207&gt;=Cutoffs!$C$5,3,IF(F207&gt;=Cutoffs!$B$5,2,1)))</f>
        <v>2</v>
      </c>
      <c r="P207" s="10">
        <f>IF(H207&gt;=Cutoffs!$D$6,4,IF(H207&gt;=Cutoffs!$C$6,3,IF(H207&gt;=Cutoffs!$B$6,2,1)))</f>
        <v>1</v>
      </c>
      <c r="Q207" s="10">
        <f t="shared" si="6"/>
        <v>4</v>
      </c>
      <c r="R207" s="10" t="str">
        <f t="shared" si="7"/>
        <v>Dormant</v>
      </c>
    </row>
    <row r="208" spans="1:18" x14ac:dyDescent="0.55000000000000004">
      <c r="A208" s="10" t="s">
        <v>248</v>
      </c>
      <c r="B208" s="10" t="s">
        <v>43</v>
      </c>
      <c r="C208" s="10" t="s">
        <v>31</v>
      </c>
      <c r="D208" s="10" t="s">
        <v>32</v>
      </c>
      <c r="E208" s="10">
        <v>0</v>
      </c>
      <c r="F208" s="10">
        <v>192</v>
      </c>
      <c r="G208" s="10">
        <v>1</v>
      </c>
      <c r="H208" s="10">
        <v>53</v>
      </c>
      <c r="I208" s="11">
        <v>3.92</v>
      </c>
      <c r="J208" s="12">
        <v>0.48399999999999999</v>
      </c>
      <c r="K208" s="11">
        <v>3.31</v>
      </c>
      <c r="L208" s="10">
        <v>164</v>
      </c>
      <c r="M208" s="10">
        <v>515</v>
      </c>
      <c r="N208" s="10">
        <f>IF(G208&lt;=Cutoffs!$B$4,4,IF(G208&lt;=Cutoffs!$C$4,3,IF(G208&lt;=Cutoffs!$D$4,2,1)))</f>
        <v>4</v>
      </c>
      <c r="O208" s="10">
        <f>IF(F208&gt;=Cutoffs!$D$5,4,IF(F208&gt;=Cutoffs!$C$5,3,IF(F208&gt;=Cutoffs!$B$5,2,1)))</f>
        <v>4</v>
      </c>
      <c r="P208" s="10">
        <f>IF(H208&gt;=Cutoffs!$D$6,4,IF(H208&gt;=Cutoffs!$C$6,3,IF(H208&gt;=Cutoffs!$B$6,2,1)))</f>
        <v>4</v>
      </c>
      <c r="Q208" s="10">
        <f t="shared" si="6"/>
        <v>12</v>
      </c>
      <c r="R208" s="10" t="str">
        <f t="shared" si="7"/>
        <v>Champions</v>
      </c>
    </row>
    <row r="209" spans="1:18" x14ac:dyDescent="0.55000000000000004">
      <c r="A209" s="10" t="s">
        <v>249</v>
      </c>
      <c r="B209" s="10" t="s">
        <v>34</v>
      </c>
      <c r="C209" s="10" t="s">
        <v>35</v>
      </c>
      <c r="D209" s="10" t="s">
        <v>39</v>
      </c>
      <c r="E209" s="10">
        <v>0</v>
      </c>
      <c r="F209" s="10">
        <v>55</v>
      </c>
      <c r="G209" s="10">
        <v>3</v>
      </c>
      <c r="H209" s="10">
        <v>19</v>
      </c>
      <c r="I209" s="11">
        <v>4.58</v>
      </c>
      <c r="J209" s="12">
        <v>0.52700000000000002</v>
      </c>
      <c r="K209" s="11">
        <v>3.15</v>
      </c>
      <c r="L209" s="10">
        <v>17</v>
      </c>
      <c r="M209" s="10">
        <v>103</v>
      </c>
      <c r="N209" s="10">
        <f>IF(G209&lt;=Cutoffs!$B$4,4,IF(G209&lt;=Cutoffs!$C$4,3,IF(G209&lt;=Cutoffs!$D$4,2,1)))</f>
        <v>3</v>
      </c>
      <c r="O209" s="10">
        <f>IF(F209&gt;=Cutoffs!$D$5,4,IF(F209&gt;=Cutoffs!$C$5,3,IF(F209&gt;=Cutoffs!$B$5,2,1)))</f>
        <v>2</v>
      </c>
      <c r="P209" s="10">
        <f>IF(H209&gt;=Cutoffs!$D$6,4,IF(H209&gt;=Cutoffs!$C$6,3,IF(H209&gt;=Cutoffs!$B$6,2,1)))</f>
        <v>2</v>
      </c>
      <c r="Q209" s="10">
        <f t="shared" si="6"/>
        <v>7</v>
      </c>
      <c r="R209" s="10" t="str">
        <f t="shared" si="7"/>
        <v>Promising</v>
      </c>
    </row>
    <row r="210" spans="1:18" x14ac:dyDescent="0.55000000000000004">
      <c r="A210" s="10" t="s">
        <v>250</v>
      </c>
      <c r="B210" s="10" t="s">
        <v>34</v>
      </c>
      <c r="C210" s="10" t="s">
        <v>35</v>
      </c>
      <c r="D210" s="10" t="s">
        <v>41</v>
      </c>
      <c r="E210" s="10">
        <v>0</v>
      </c>
      <c r="F210" s="10">
        <v>48</v>
      </c>
      <c r="G210" s="10">
        <v>1</v>
      </c>
      <c r="H210" s="10">
        <v>21</v>
      </c>
      <c r="I210" s="11">
        <v>1.85</v>
      </c>
      <c r="J210" s="12">
        <v>0.64600000000000002</v>
      </c>
      <c r="K210" s="11">
        <v>3.66</v>
      </c>
      <c r="L210" s="10">
        <v>-6</v>
      </c>
      <c r="M210" s="10">
        <v>493</v>
      </c>
      <c r="N210" s="10">
        <f>IF(G210&lt;=Cutoffs!$B$4,4,IF(G210&lt;=Cutoffs!$C$4,3,IF(G210&lt;=Cutoffs!$D$4,2,1)))</f>
        <v>4</v>
      </c>
      <c r="O210" s="10">
        <f>IF(F210&gt;=Cutoffs!$D$5,4,IF(F210&gt;=Cutoffs!$C$5,3,IF(F210&gt;=Cutoffs!$B$5,2,1)))</f>
        <v>1</v>
      </c>
      <c r="P210" s="10">
        <f>IF(H210&gt;=Cutoffs!$D$6,4,IF(H210&gt;=Cutoffs!$C$6,3,IF(H210&gt;=Cutoffs!$B$6,2,1)))</f>
        <v>3</v>
      </c>
      <c r="Q210" s="10">
        <f t="shared" si="6"/>
        <v>8</v>
      </c>
      <c r="R210" s="10" t="str">
        <f t="shared" si="7"/>
        <v>Promising</v>
      </c>
    </row>
    <row r="211" spans="1:18" x14ac:dyDescent="0.55000000000000004">
      <c r="A211" s="10" t="s">
        <v>251</v>
      </c>
      <c r="B211" s="10" t="s">
        <v>30</v>
      </c>
      <c r="C211" s="10" t="s">
        <v>31</v>
      </c>
      <c r="D211" s="10" t="s">
        <v>44</v>
      </c>
      <c r="E211" s="10">
        <v>0</v>
      </c>
      <c r="F211" s="10">
        <v>126</v>
      </c>
      <c r="G211" s="10">
        <v>17</v>
      </c>
      <c r="H211" s="10">
        <v>39</v>
      </c>
      <c r="I211" s="11">
        <v>2.4700000000000002</v>
      </c>
      <c r="J211" s="12">
        <v>0.47599999999999998</v>
      </c>
      <c r="K211" s="11">
        <v>3.21</v>
      </c>
      <c r="L211" s="10">
        <v>-2</v>
      </c>
      <c r="M211" s="10">
        <v>364</v>
      </c>
      <c r="N211" s="10">
        <f>IF(G211&lt;=Cutoffs!$B$4,4,IF(G211&lt;=Cutoffs!$C$4,3,IF(G211&lt;=Cutoffs!$D$4,2,1)))</f>
        <v>2</v>
      </c>
      <c r="O211" s="10">
        <f>IF(F211&gt;=Cutoffs!$D$5,4,IF(F211&gt;=Cutoffs!$C$5,3,IF(F211&gt;=Cutoffs!$B$5,2,1)))</f>
        <v>3</v>
      </c>
      <c r="P211" s="10">
        <f>IF(H211&gt;=Cutoffs!$D$6,4,IF(H211&gt;=Cutoffs!$C$6,3,IF(H211&gt;=Cutoffs!$B$6,2,1)))</f>
        <v>4</v>
      </c>
      <c r="Q211" s="10">
        <f t="shared" si="6"/>
        <v>9</v>
      </c>
      <c r="R211" s="10" t="str">
        <f t="shared" si="7"/>
        <v>At risk</v>
      </c>
    </row>
    <row r="212" spans="1:18" x14ac:dyDescent="0.55000000000000004">
      <c r="A212" s="10" t="s">
        <v>252</v>
      </c>
      <c r="B212" s="10" t="s">
        <v>47</v>
      </c>
      <c r="C212" s="10" t="s">
        <v>35</v>
      </c>
      <c r="D212" s="10" t="s">
        <v>39</v>
      </c>
      <c r="E212" s="10">
        <v>0</v>
      </c>
      <c r="F212" s="10">
        <v>54</v>
      </c>
      <c r="G212" s="10">
        <v>18</v>
      </c>
      <c r="H212" s="10">
        <v>12</v>
      </c>
      <c r="I212" s="11">
        <v>6.75</v>
      </c>
      <c r="J212" s="12">
        <v>0.48099999999999998</v>
      </c>
      <c r="K212" s="11">
        <v>4.32</v>
      </c>
      <c r="L212" s="10">
        <v>-8</v>
      </c>
      <c r="M212" s="10">
        <v>227</v>
      </c>
      <c r="N212" s="10">
        <f>IF(G212&lt;=Cutoffs!$B$4,4,IF(G212&lt;=Cutoffs!$C$4,3,IF(G212&lt;=Cutoffs!$D$4,2,1)))</f>
        <v>2</v>
      </c>
      <c r="O212" s="10">
        <f>IF(F212&gt;=Cutoffs!$D$5,4,IF(F212&gt;=Cutoffs!$C$5,3,IF(F212&gt;=Cutoffs!$B$5,2,1)))</f>
        <v>2</v>
      </c>
      <c r="P212" s="10">
        <f>IF(H212&gt;=Cutoffs!$D$6,4,IF(H212&gt;=Cutoffs!$C$6,3,IF(H212&gt;=Cutoffs!$B$6,2,1)))</f>
        <v>2</v>
      </c>
      <c r="Q212" s="10">
        <f t="shared" si="6"/>
        <v>6</v>
      </c>
      <c r="R212" s="10" t="str">
        <f t="shared" si="7"/>
        <v>Cooling</v>
      </c>
    </row>
    <row r="213" spans="1:18" x14ac:dyDescent="0.55000000000000004">
      <c r="A213" s="10" t="s">
        <v>253</v>
      </c>
      <c r="B213" s="10" t="s">
        <v>30</v>
      </c>
      <c r="C213" s="10" t="s">
        <v>31</v>
      </c>
      <c r="D213" s="10" t="s">
        <v>32</v>
      </c>
      <c r="E213" s="10">
        <v>0</v>
      </c>
      <c r="F213" s="10">
        <v>183</v>
      </c>
      <c r="G213" s="10">
        <v>6</v>
      </c>
      <c r="H213" s="10">
        <v>8</v>
      </c>
      <c r="I213" s="11">
        <v>3.1</v>
      </c>
      <c r="J213" s="12">
        <v>0.48099999999999998</v>
      </c>
      <c r="K213" s="11">
        <v>4.1100000000000003</v>
      </c>
      <c r="L213" s="10">
        <v>15</v>
      </c>
      <c r="M213" s="10">
        <v>281</v>
      </c>
      <c r="N213" s="10">
        <f>IF(G213&lt;=Cutoffs!$B$4,4,IF(G213&lt;=Cutoffs!$C$4,3,IF(G213&lt;=Cutoffs!$D$4,2,1)))</f>
        <v>3</v>
      </c>
      <c r="O213" s="10">
        <f>IF(F213&gt;=Cutoffs!$D$5,4,IF(F213&gt;=Cutoffs!$C$5,3,IF(F213&gt;=Cutoffs!$B$5,2,1)))</f>
        <v>4</v>
      </c>
      <c r="P213" s="10">
        <f>IF(H213&gt;=Cutoffs!$D$6,4,IF(H213&gt;=Cutoffs!$C$6,3,IF(H213&gt;=Cutoffs!$B$6,2,1)))</f>
        <v>1</v>
      </c>
      <c r="Q213" s="10">
        <f t="shared" si="6"/>
        <v>8</v>
      </c>
      <c r="R213" s="10" t="str">
        <f t="shared" si="7"/>
        <v>Champions</v>
      </c>
    </row>
    <row r="214" spans="1:18" x14ac:dyDescent="0.55000000000000004">
      <c r="A214" s="10" t="s">
        <v>254</v>
      </c>
      <c r="B214" s="10" t="s">
        <v>47</v>
      </c>
      <c r="C214" s="10" t="s">
        <v>35</v>
      </c>
      <c r="D214" s="10" t="s">
        <v>44</v>
      </c>
      <c r="E214" s="10">
        <v>0</v>
      </c>
      <c r="F214" s="10">
        <v>32</v>
      </c>
      <c r="G214" s="10">
        <v>6</v>
      </c>
      <c r="H214" s="10">
        <v>3</v>
      </c>
      <c r="I214" s="11">
        <v>1.68</v>
      </c>
      <c r="J214" s="12">
        <v>0.56200000000000006</v>
      </c>
      <c r="K214" s="11">
        <v>3.18</v>
      </c>
      <c r="L214" s="10">
        <v>-20</v>
      </c>
      <c r="M214" s="10">
        <v>139</v>
      </c>
      <c r="N214" s="10">
        <f>IF(G214&lt;=Cutoffs!$B$4,4,IF(G214&lt;=Cutoffs!$C$4,3,IF(G214&lt;=Cutoffs!$D$4,2,1)))</f>
        <v>3</v>
      </c>
      <c r="O214" s="10">
        <f>IF(F214&gt;=Cutoffs!$D$5,4,IF(F214&gt;=Cutoffs!$C$5,3,IF(F214&gt;=Cutoffs!$B$5,2,1)))</f>
        <v>1</v>
      </c>
      <c r="P214" s="10">
        <f>IF(H214&gt;=Cutoffs!$D$6,4,IF(H214&gt;=Cutoffs!$C$6,3,IF(H214&gt;=Cutoffs!$B$6,2,1)))</f>
        <v>1</v>
      </c>
      <c r="Q214" s="10">
        <f t="shared" si="6"/>
        <v>5</v>
      </c>
      <c r="R214" s="10" t="str">
        <f t="shared" si="7"/>
        <v>Promising</v>
      </c>
    </row>
    <row r="215" spans="1:18" x14ac:dyDescent="0.55000000000000004">
      <c r="A215" s="10" t="s">
        <v>255</v>
      </c>
      <c r="B215" s="10" t="s">
        <v>43</v>
      </c>
      <c r="C215" s="10" t="s">
        <v>31</v>
      </c>
      <c r="D215" s="10" t="s">
        <v>41</v>
      </c>
      <c r="E215" s="10">
        <v>0</v>
      </c>
      <c r="F215" s="10">
        <v>185</v>
      </c>
      <c r="G215" s="10">
        <v>1</v>
      </c>
      <c r="H215" s="10">
        <v>56</v>
      </c>
      <c r="I215" s="11">
        <v>4.74</v>
      </c>
      <c r="J215" s="12">
        <v>0.48599999999999999</v>
      </c>
      <c r="K215" s="11">
        <v>3.56</v>
      </c>
      <c r="L215" s="10">
        <v>185</v>
      </c>
      <c r="M215" s="10">
        <v>608</v>
      </c>
      <c r="N215" s="10">
        <f>IF(G215&lt;=Cutoffs!$B$4,4,IF(G215&lt;=Cutoffs!$C$4,3,IF(G215&lt;=Cutoffs!$D$4,2,1)))</f>
        <v>4</v>
      </c>
      <c r="O215" s="10">
        <f>IF(F215&gt;=Cutoffs!$D$5,4,IF(F215&gt;=Cutoffs!$C$5,3,IF(F215&gt;=Cutoffs!$B$5,2,1)))</f>
        <v>4</v>
      </c>
      <c r="P215" s="10">
        <f>IF(H215&gt;=Cutoffs!$D$6,4,IF(H215&gt;=Cutoffs!$C$6,3,IF(H215&gt;=Cutoffs!$B$6,2,1)))</f>
        <v>4</v>
      </c>
      <c r="Q215" s="10">
        <f t="shared" si="6"/>
        <v>12</v>
      </c>
      <c r="R215" s="10" t="str">
        <f t="shared" si="7"/>
        <v>Champions</v>
      </c>
    </row>
    <row r="216" spans="1:18" x14ac:dyDescent="0.55000000000000004">
      <c r="A216" s="10" t="s">
        <v>256</v>
      </c>
      <c r="B216" s="10" t="s">
        <v>30</v>
      </c>
      <c r="C216" s="10" t="s">
        <v>31</v>
      </c>
      <c r="D216" s="10" t="s">
        <v>41</v>
      </c>
      <c r="E216" s="10">
        <v>1</v>
      </c>
      <c r="F216" s="10">
        <v>74</v>
      </c>
      <c r="G216" s="10">
        <v>39</v>
      </c>
      <c r="H216" s="10">
        <v>18</v>
      </c>
      <c r="I216" s="11">
        <v>3.89</v>
      </c>
      <c r="J216" s="12">
        <v>0.52700000000000002</v>
      </c>
      <c r="K216" s="11">
        <v>3.74</v>
      </c>
      <c r="L216" s="10">
        <v>-36</v>
      </c>
      <c r="M216" s="10">
        <v>627</v>
      </c>
      <c r="N216" s="10">
        <f>IF(G216&lt;=Cutoffs!$B$4,4,IF(G216&lt;=Cutoffs!$C$4,3,IF(G216&lt;=Cutoffs!$D$4,2,1)))</f>
        <v>1</v>
      </c>
      <c r="O216" s="10">
        <f>IF(F216&gt;=Cutoffs!$D$5,4,IF(F216&gt;=Cutoffs!$C$5,3,IF(F216&gt;=Cutoffs!$B$5,2,1)))</f>
        <v>2</v>
      </c>
      <c r="P216" s="10">
        <f>IF(H216&gt;=Cutoffs!$D$6,4,IF(H216&gt;=Cutoffs!$C$6,3,IF(H216&gt;=Cutoffs!$B$6,2,1)))</f>
        <v>2</v>
      </c>
      <c r="Q216" s="10">
        <f t="shared" si="6"/>
        <v>5</v>
      </c>
      <c r="R216" s="10" t="str">
        <f t="shared" si="7"/>
        <v>Dormant</v>
      </c>
    </row>
    <row r="217" spans="1:18" x14ac:dyDescent="0.55000000000000004">
      <c r="A217" s="10" t="s">
        <v>257</v>
      </c>
      <c r="B217" s="10" t="s">
        <v>58</v>
      </c>
      <c r="C217" s="10" t="s">
        <v>31</v>
      </c>
      <c r="D217" s="10" t="s">
        <v>39</v>
      </c>
      <c r="E217" s="10">
        <v>0</v>
      </c>
      <c r="F217" s="10">
        <v>195</v>
      </c>
      <c r="G217" s="10">
        <v>1</v>
      </c>
      <c r="H217" s="10">
        <v>36</v>
      </c>
      <c r="I217" s="11">
        <v>2.67</v>
      </c>
      <c r="J217" s="12">
        <v>0.46200000000000002</v>
      </c>
      <c r="K217" s="11">
        <v>2.61</v>
      </c>
      <c r="L217" s="10">
        <v>143</v>
      </c>
      <c r="M217" s="10">
        <v>145</v>
      </c>
      <c r="N217" s="10">
        <f>IF(G217&lt;=Cutoffs!$B$4,4,IF(G217&lt;=Cutoffs!$C$4,3,IF(G217&lt;=Cutoffs!$D$4,2,1)))</f>
        <v>4</v>
      </c>
      <c r="O217" s="10">
        <f>IF(F217&gt;=Cutoffs!$D$5,4,IF(F217&gt;=Cutoffs!$C$5,3,IF(F217&gt;=Cutoffs!$B$5,2,1)))</f>
        <v>4</v>
      </c>
      <c r="P217" s="10">
        <f>IF(H217&gt;=Cutoffs!$D$6,4,IF(H217&gt;=Cutoffs!$C$6,3,IF(H217&gt;=Cutoffs!$B$6,2,1)))</f>
        <v>4</v>
      </c>
      <c r="Q217" s="10">
        <f t="shared" si="6"/>
        <v>12</v>
      </c>
      <c r="R217" s="10" t="str">
        <f t="shared" si="7"/>
        <v>Champions</v>
      </c>
    </row>
    <row r="218" spans="1:18" x14ac:dyDescent="0.55000000000000004">
      <c r="A218" s="10" t="s">
        <v>258</v>
      </c>
      <c r="B218" s="10" t="s">
        <v>43</v>
      </c>
      <c r="C218" s="10" t="s">
        <v>31</v>
      </c>
      <c r="D218" s="10" t="s">
        <v>36</v>
      </c>
      <c r="E218" s="10">
        <v>0</v>
      </c>
      <c r="F218" s="10">
        <v>193</v>
      </c>
      <c r="G218" s="10">
        <v>1</v>
      </c>
      <c r="H218" s="10">
        <v>23</v>
      </c>
      <c r="I218" s="11">
        <v>4.1100000000000003</v>
      </c>
      <c r="J218" s="12">
        <v>0.503</v>
      </c>
      <c r="K218" s="11">
        <v>3</v>
      </c>
      <c r="L218" s="10">
        <v>193</v>
      </c>
      <c r="M218" s="10">
        <v>428</v>
      </c>
      <c r="N218" s="10">
        <f>IF(G218&lt;=Cutoffs!$B$4,4,IF(G218&lt;=Cutoffs!$C$4,3,IF(G218&lt;=Cutoffs!$D$4,2,1)))</f>
        <v>4</v>
      </c>
      <c r="O218" s="10">
        <f>IF(F218&gt;=Cutoffs!$D$5,4,IF(F218&gt;=Cutoffs!$C$5,3,IF(F218&gt;=Cutoffs!$B$5,2,1)))</f>
        <v>4</v>
      </c>
      <c r="P218" s="10">
        <f>IF(H218&gt;=Cutoffs!$D$6,4,IF(H218&gt;=Cutoffs!$C$6,3,IF(H218&gt;=Cutoffs!$B$6,2,1)))</f>
        <v>3</v>
      </c>
      <c r="Q218" s="10">
        <f t="shared" si="6"/>
        <v>11</v>
      </c>
      <c r="R218" s="10" t="str">
        <f t="shared" si="7"/>
        <v>Champions</v>
      </c>
    </row>
    <row r="219" spans="1:18" x14ac:dyDescent="0.55000000000000004">
      <c r="A219" s="10" t="s">
        <v>259</v>
      </c>
      <c r="B219" s="10" t="s">
        <v>38</v>
      </c>
      <c r="C219" s="10" t="s">
        <v>35</v>
      </c>
      <c r="D219" s="10" t="s">
        <v>32</v>
      </c>
      <c r="E219" s="10">
        <v>0</v>
      </c>
      <c r="F219" s="10">
        <v>151</v>
      </c>
      <c r="G219" s="10">
        <v>36</v>
      </c>
      <c r="H219" s="10">
        <v>43</v>
      </c>
      <c r="I219" s="11">
        <v>5.21</v>
      </c>
      <c r="J219" s="12">
        <v>0.47699999999999998</v>
      </c>
      <c r="K219" s="11">
        <v>3.25</v>
      </c>
      <c r="L219" s="10">
        <v>59</v>
      </c>
      <c r="M219" s="10">
        <v>99</v>
      </c>
      <c r="N219" s="10">
        <f>IF(G219&lt;=Cutoffs!$B$4,4,IF(G219&lt;=Cutoffs!$C$4,3,IF(G219&lt;=Cutoffs!$D$4,2,1)))</f>
        <v>1</v>
      </c>
      <c r="O219" s="10">
        <f>IF(F219&gt;=Cutoffs!$D$5,4,IF(F219&gt;=Cutoffs!$C$5,3,IF(F219&gt;=Cutoffs!$B$5,2,1)))</f>
        <v>3</v>
      </c>
      <c r="P219" s="10">
        <f>IF(H219&gt;=Cutoffs!$D$6,4,IF(H219&gt;=Cutoffs!$C$6,3,IF(H219&gt;=Cutoffs!$B$6,2,1)))</f>
        <v>4</v>
      </c>
      <c r="Q219" s="10">
        <f t="shared" si="6"/>
        <v>8</v>
      </c>
      <c r="R219" s="10" t="str">
        <f t="shared" si="7"/>
        <v>At risk</v>
      </c>
    </row>
    <row r="220" spans="1:18" x14ac:dyDescent="0.55000000000000004">
      <c r="A220" s="10" t="s">
        <v>260</v>
      </c>
      <c r="B220" s="10" t="s">
        <v>34</v>
      </c>
      <c r="C220" s="10" t="s">
        <v>35</v>
      </c>
      <c r="D220" s="10" t="s">
        <v>39</v>
      </c>
      <c r="E220" s="10">
        <v>0</v>
      </c>
      <c r="F220" s="10">
        <v>117</v>
      </c>
      <c r="G220" s="10">
        <v>3</v>
      </c>
      <c r="H220" s="10">
        <v>20</v>
      </c>
      <c r="I220" s="11">
        <v>3.66</v>
      </c>
      <c r="J220" s="12">
        <v>0.51300000000000001</v>
      </c>
      <c r="K220" s="11">
        <v>4.74</v>
      </c>
      <c r="L220" s="10">
        <v>41</v>
      </c>
      <c r="M220" s="10">
        <v>679</v>
      </c>
      <c r="N220" s="10">
        <f>IF(G220&lt;=Cutoffs!$B$4,4,IF(G220&lt;=Cutoffs!$C$4,3,IF(G220&lt;=Cutoffs!$D$4,2,1)))</f>
        <v>3</v>
      </c>
      <c r="O220" s="10">
        <f>IF(F220&gt;=Cutoffs!$D$5,4,IF(F220&gt;=Cutoffs!$C$5,3,IF(F220&gt;=Cutoffs!$B$5,2,1)))</f>
        <v>3</v>
      </c>
      <c r="P220" s="10">
        <f>IF(H220&gt;=Cutoffs!$D$6,4,IF(H220&gt;=Cutoffs!$C$6,3,IF(H220&gt;=Cutoffs!$B$6,2,1)))</f>
        <v>3</v>
      </c>
      <c r="Q220" s="10">
        <f t="shared" si="6"/>
        <v>9</v>
      </c>
      <c r="R220" s="10" t="str">
        <f t="shared" si="7"/>
        <v>Champions</v>
      </c>
    </row>
    <row r="221" spans="1:18" x14ac:dyDescent="0.55000000000000004">
      <c r="A221" s="10" t="s">
        <v>261</v>
      </c>
      <c r="B221" s="10" t="s">
        <v>34</v>
      </c>
      <c r="C221" s="10" t="s">
        <v>35</v>
      </c>
      <c r="D221" s="10" t="s">
        <v>44</v>
      </c>
      <c r="E221" s="10">
        <v>0</v>
      </c>
      <c r="F221" s="10">
        <v>31</v>
      </c>
      <c r="G221" s="10">
        <v>3</v>
      </c>
      <c r="H221" s="10">
        <v>1</v>
      </c>
      <c r="I221" s="11">
        <v>1.63</v>
      </c>
      <c r="J221" s="12">
        <v>0.51600000000000001</v>
      </c>
      <c r="K221" s="11">
        <v>3.07</v>
      </c>
      <c r="L221" s="10">
        <v>13</v>
      </c>
      <c r="M221" s="10">
        <v>751</v>
      </c>
      <c r="N221" s="10">
        <f>IF(G221&lt;=Cutoffs!$B$4,4,IF(G221&lt;=Cutoffs!$C$4,3,IF(G221&lt;=Cutoffs!$D$4,2,1)))</f>
        <v>3</v>
      </c>
      <c r="O221" s="10">
        <f>IF(F221&gt;=Cutoffs!$D$5,4,IF(F221&gt;=Cutoffs!$C$5,3,IF(F221&gt;=Cutoffs!$B$5,2,1)))</f>
        <v>1</v>
      </c>
      <c r="P221" s="10">
        <f>IF(H221&gt;=Cutoffs!$D$6,4,IF(H221&gt;=Cutoffs!$C$6,3,IF(H221&gt;=Cutoffs!$B$6,2,1)))</f>
        <v>1</v>
      </c>
      <c r="Q221" s="10">
        <f t="shared" si="6"/>
        <v>5</v>
      </c>
      <c r="R221" s="10" t="str">
        <f t="shared" si="7"/>
        <v>Promising</v>
      </c>
    </row>
    <row r="222" spans="1:18" x14ac:dyDescent="0.55000000000000004">
      <c r="A222" s="10" t="s">
        <v>262</v>
      </c>
      <c r="B222" s="10" t="s">
        <v>43</v>
      </c>
      <c r="C222" s="10" t="s">
        <v>31</v>
      </c>
      <c r="D222" s="10" t="s">
        <v>44</v>
      </c>
      <c r="E222" s="10">
        <v>1</v>
      </c>
      <c r="F222" s="10">
        <v>45</v>
      </c>
      <c r="G222" s="10">
        <v>25</v>
      </c>
      <c r="H222" s="10">
        <v>15</v>
      </c>
      <c r="I222" s="11">
        <v>1.73</v>
      </c>
      <c r="J222" s="12">
        <v>0.46700000000000003</v>
      </c>
      <c r="K222" s="11">
        <v>2.2599999999999998</v>
      </c>
      <c r="L222" s="10">
        <v>1</v>
      </c>
      <c r="M222" s="10">
        <v>607</v>
      </c>
      <c r="N222" s="10">
        <f>IF(G222&lt;=Cutoffs!$B$4,4,IF(G222&lt;=Cutoffs!$C$4,3,IF(G222&lt;=Cutoffs!$D$4,2,1)))</f>
        <v>1</v>
      </c>
      <c r="O222" s="10">
        <f>IF(F222&gt;=Cutoffs!$D$5,4,IF(F222&gt;=Cutoffs!$C$5,3,IF(F222&gt;=Cutoffs!$B$5,2,1)))</f>
        <v>1</v>
      </c>
      <c r="P222" s="10">
        <f>IF(H222&gt;=Cutoffs!$D$6,4,IF(H222&gt;=Cutoffs!$C$6,3,IF(H222&gt;=Cutoffs!$B$6,2,1)))</f>
        <v>2</v>
      </c>
      <c r="Q222" s="10">
        <f t="shared" si="6"/>
        <v>4</v>
      </c>
      <c r="R222" s="10" t="str">
        <f t="shared" si="7"/>
        <v>Dormant</v>
      </c>
    </row>
    <row r="223" spans="1:18" x14ac:dyDescent="0.55000000000000004">
      <c r="A223" s="10" t="s">
        <v>263</v>
      </c>
      <c r="B223" s="10" t="s">
        <v>30</v>
      </c>
      <c r="C223" s="10" t="s">
        <v>31</v>
      </c>
      <c r="D223" s="10" t="s">
        <v>44</v>
      </c>
      <c r="E223" s="10">
        <v>1</v>
      </c>
      <c r="F223" s="10">
        <v>33</v>
      </c>
      <c r="G223" s="10">
        <v>22</v>
      </c>
      <c r="H223" s="10">
        <v>3</v>
      </c>
      <c r="I223" s="11">
        <v>3.67</v>
      </c>
      <c r="J223" s="12">
        <v>0.69699999999999995</v>
      </c>
      <c r="K223" s="11">
        <v>3.96</v>
      </c>
      <c r="L223" s="10">
        <v>-3</v>
      </c>
      <c r="M223" s="10">
        <v>617</v>
      </c>
      <c r="N223" s="10">
        <f>IF(G223&lt;=Cutoffs!$B$4,4,IF(G223&lt;=Cutoffs!$C$4,3,IF(G223&lt;=Cutoffs!$D$4,2,1)))</f>
        <v>1</v>
      </c>
      <c r="O223" s="10">
        <f>IF(F223&gt;=Cutoffs!$D$5,4,IF(F223&gt;=Cutoffs!$C$5,3,IF(F223&gt;=Cutoffs!$B$5,2,1)))</f>
        <v>1</v>
      </c>
      <c r="P223" s="10">
        <f>IF(H223&gt;=Cutoffs!$D$6,4,IF(H223&gt;=Cutoffs!$C$6,3,IF(H223&gt;=Cutoffs!$B$6,2,1)))</f>
        <v>1</v>
      </c>
      <c r="Q223" s="10">
        <f t="shared" si="6"/>
        <v>3</v>
      </c>
      <c r="R223" s="10" t="str">
        <f t="shared" si="7"/>
        <v>Dormant</v>
      </c>
    </row>
    <row r="224" spans="1:18" x14ac:dyDescent="0.55000000000000004">
      <c r="A224" s="10" t="s">
        <v>264</v>
      </c>
      <c r="B224" s="10" t="s">
        <v>58</v>
      </c>
      <c r="C224" s="10" t="s">
        <v>31</v>
      </c>
      <c r="D224" s="10" t="s">
        <v>32</v>
      </c>
      <c r="E224" s="10">
        <v>0</v>
      </c>
      <c r="F224" s="10">
        <v>164</v>
      </c>
      <c r="G224" s="10">
        <v>3</v>
      </c>
      <c r="H224" s="10">
        <v>33</v>
      </c>
      <c r="I224" s="11">
        <v>3.42</v>
      </c>
      <c r="J224" s="12">
        <v>0.45100000000000001</v>
      </c>
      <c r="K224" s="11">
        <v>3.35</v>
      </c>
      <c r="L224" s="10">
        <v>-28</v>
      </c>
      <c r="M224" s="10">
        <v>276</v>
      </c>
      <c r="N224" s="10">
        <f>IF(G224&lt;=Cutoffs!$B$4,4,IF(G224&lt;=Cutoffs!$C$4,3,IF(G224&lt;=Cutoffs!$D$4,2,1)))</f>
        <v>3</v>
      </c>
      <c r="O224" s="10">
        <f>IF(F224&gt;=Cutoffs!$D$5,4,IF(F224&gt;=Cutoffs!$C$5,3,IF(F224&gt;=Cutoffs!$B$5,2,1)))</f>
        <v>4</v>
      </c>
      <c r="P224" s="10">
        <f>IF(H224&gt;=Cutoffs!$D$6,4,IF(H224&gt;=Cutoffs!$C$6,3,IF(H224&gt;=Cutoffs!$B$6,2,1)))</f>
        <v>4</v>
      </c>
      <c r="Q224" s="10">
        <f t="shared" si="6"/>
        <v>11</v>
      </c>
      <c r="R224" s="10" t="str">
        <f t="shared" si="7"/>
        <v>Champions</v>
      </c>
    </row>
    <row r="225" spans="1:18" x14ac:dyDescent="0.55000000000000004">
      <c r="A225" s="10" t="s">
        <v>265</v>
      </c>
      <c r="B225" s="10" t="s">
        <v>47</v>
      </c>
      <c r="C225" s="10" t="s">
        <v>35</v>
      </c>
      <c r="D225" s="10" t="s">
        <v>44</v>
      </c>
      <c r="E225" s="10">
        <v>0</v>
      </c>
      <c r="F225" s="10">
        <v>91</v>
      </c>
      <c r="G225" s="10">
        <v>17</v>
      </c>
      <c r="H225" s="10">
        <v>24</v>
      </c>
      <c r="I225" s="11">
        <v>4.1399999999999997</v>
      </c>
      <c r="J225" s="12">
        <v>0.51600000000000001</v>
      </c>
      <c r="K225" s="11">
        <v>2.29</v>
      </c>
      <c r="L225" s="10">
        <v>-61</v>
      </c>
      <c r="M225" s="10">
        <v>358</v>
      </c>
      <c r="N225" s="10">
        <f>IF(G225&lt;=Cutoffs!$B$4,4,IF(G225&lt;=Cutoffs!$C$4,3,IF(G225&lt;=Cutoffs!$D$4,2,1)))</f>
        <v>2</v>
      </c>
      <c r="O225" s="10">
        <f>IF(F225&gt;=Cutoffs!$D$5,4,IF(F225&gt;=Cutoffs!$C$5,3,IF(F225&gt;=Cutoffs!$B$5,2,1)))</f>
        <v>2</v>
      </c>
      <c r="P225" s="10">
        <f>IF(H225&gt;=Cutoffs!$D$6,4,IF(H225&gt;=Cutoffs!$C$6,3,IF(H225&gt;=Cutoffs!$B$6,2,1)))</f>
        <v>3</v>
      </c>
      <c r="Q225" s="10">
        <f t="shared" si="6"/>
        <v>7</v>
      </c>
      <c r="R225" s="10" t="str">
        <f t="shared" si="7"/>
        <v>Cooling</v>
      </c>
    </row>
    <row r="226" spans="1:18" x14ac:dyDescent="0.55000000000000004">
      <c r="A226" s="10" t="s">
        <v>266</v>
      </c>
      <c r="B226" s="10" t="s">
        <v>47</v>
      </c>
      <c r="C226" s="10" t="s">
        <v>35</v>
      </c>
      <c r="D226" s="10" t="s">
        <v>32</v>
      </c>
      <c r="E226" s="10">
        <v>0</v>
      </c>
      <c r="F226" s="10">
        <v>126</v>
      </c>
      <c r="G226" s="10">
        <v>1</v>
      </c>
      <c r="H226" s="10">
        <v>23</v>
      </c>
      <c r="I226" s="11">
        <v>2.86</v>
      </c>
      <c r="J226" s="12">
        <v>0.46</v>
      </c>
      <c r="K226" s="11">
        <v>5.0199999999999996</v>
      </c>
      <c r="L226" s="10">
        <v>114</v>
      </c>
      <c r="M226" s="10">
        <v>1092</v>
      </c>
      <c r="N226" s="10">
        <f>IF(G226&lt;=Cutoffs!$B$4,4,IF(G226&lt;=Cutoffs!$C$4,3,IF(G226&lt;=Cutoffs!$D$4,2,1)))</f>
        <v>4</v>
      </c>
      <c r="O226" s="10">
        <f>IF(F226&gt;=Cutoffs!$D$5,4,IF(F226&gt;=Cutoffs!$C$5,3,IF(F226&gt;=Cutoffs!$B$5,2,1)))</f>
        <v>3</v>
      </c>
      <c r="P226" s="10">
        <f>IF(H226&gt;=Cutoffs!$D$6,4,IF(H226&gt;=Cutoffs!$C$6,3,IF(H226&gt;=Cutoffs!$B$6,2,1)))</f>
        <v>3</v>
      </c>
      <c r="Q226" s="10">
        <f t="shared" si="6"/>
        <v>10</v>
      </c>
      <c r="R226" s="10" t="str">
        <f t="shared" si="7"/>
        <v>Champions</v>
      </c>
    </row>
    <row r="227" spans="1:18" x14ac:dyDescent="0.55000000000000004">
      <c r="A227" s="10" t="s">
        <v>267</v>
      </c>
      <c r="B227" s="10" t="s">
        <v>34</v>
      </c>
      <c r="C227" s="10" t="s">
        <v>35</v>
      </c>
      <c r="D227" s="10" t="s">
        <v>36</v>
      </c>
      <c r="E227" s="10">
        <v>0</v>
      </c>
      <c r="F227" s="10">
        <v>90</v>
      </c>
      <c r="G227" s="10">
        <v>45</v>
      </c>
      <c r="H227" s="10">
        <v>8</v>
      </c>
      <c r="I227" s="11">
        <v>3.46</v>
      </c>
      <c r="J227" s="12">
        <v>0.53300000000000003</v>
      </c>
      <c r="K227" s="11">
        <v>1.89</v>
      </c>
      <c r="L227" s="10">
        <v>-10</v>
      </c>
      <c r="M227" s="10">
        <v>827</v>
      </c>
      <c r="N227" s="10">
        <f>IF(G227&lt;=Cutoffs!$B$4,4,IF(G227&lt;=Cutoffs!$C$4,3,IF(G227&lt;=Cutoffs!$D$4,2,1)))</f>
        <v>1</v>
      </c>
      <c r="O227" s="10">
        <f>IF(F227&gt;=Cutoffs!$D$5,4,IF(F227&gt;=Cutoffs!$C$5,3,IF(F227&gt;=Cutoffs!$B$5,2,1)))</f>
        <v>2</v>
      </c>
      <c r="P227" s="10">
        <f>IF(H227&gt;=Cutoffs!$D$6,4,IF(H227&gt;=Cutoffs!$C$6,3,IF(H227&gt;=Cutoffs!$B$6,2,1)))</f>
        <v>1</v>
      </c>
      <c r="Q227" s="10">
        <f t="shared" si="6"/>
        <v>4</v>
      </c>
      <c r="R227" s="10" t="str">
        <f t="shared" si="7"/>
        <v>Dormant</v>
      </c>
    </row>
    <row r="228" spans="1:18" x14ac:dyDescent="0.55000000000000004">
      <c r="A228" s="10" t="s">
        <v>268</v>
      </c>
      <c r="B228" s="10" t="s">
        <v>47</v>
      </c>
      <c r="C228" s="10" t="s">
        <v>35</v>
      </c>
      <c r="D228" s="10" t="s">
        <v>32</v>
      </c>
      <c r="E228" s="10">
        <v>0</v>
      </c>
      <c r="F228" s="10">
        <v>164</v>
      </c>
      <c r="G228" s="10">
        <v>27</v>
      </c>
      <c r="H228" s="10">
        <v>28</v>
      </c>
      <c r="I228" s="11">
        <v>4.21</v>
      </c>
      <c r="J228" s="12">
        <v>0.53</v>
      </c>
      <c r="K228" s="11">
        <v>4.4000000000000004</v>
      </c>
      <c r="L228" s="10">
        <v>-12</v>
      </c>
      <c r="M228" s="10">
        <v>795</v>
      </c>
      <c r="N228" s="10">
        <f>IF(G228&lt;=Cutoffs!$B$4,4,IF(G228&lt;=Cutoffs!$C$4,3,IF(G228&lt;=Cutoffs!$D$4,2,1)))</f>
        <v>1</v>
      </c>
      <c r="O228" s="10">
        <f>IF(F228&gt;=Cutoffs!$D$5,4,IF(F228&gt;=Cutoffs!$C$5,3,IF(F228&gt;=Cutoffs!$B$5,2,1)))</f>
        <v>4</v>
      </c>
      <c r="P228" s="10">
        <f>IF(H228&gt;=Cutoffs!$D$6,4,IF(H228&gt;=Cutoffs!$C$6,3,IF(H228&gt;=Cutoffs!$B$6,2,1)))</f>
        <v>3</v>
      </c>
      <c r="Q228" s="10">
        <f t="shared" si="6"/>
        <v>8</v>
      </c>
      <c r="R228" s="10" t="str">
        <f t="shared" si="7"/>
        <v>At risk</v>
      </c>
    </row>
    <row r="229" spans="1:18" x14ac:dyDescent="0.55000000000000004">
      <c r="A229" s="10" t="s">
        <v>269</v>
      </c>
      <c r="B229" s="10" t="s">
        <v>34</v>
      </c>
      <c r="C229" s="10" t="s">
        <v>35</v>
      </c>
      <c r="D229" s="10" t="s">
        <v>39</v>
      </c>
      <c r="E229" s="10">
        <v>0</v>
      </c>
      <c r="F229" s="10">
        <v>192</v>
      </c>
      <c r="G229" s="10">
        <v>2</v>
      </c>
      <c r="H229" s="10">
        <v>33</v>
      </c>
      <c r="I229" s="11">
        <v>4.09</v>
      </c>
      <c r="J229" s="12">
        <v>0.49</v>
      </c>
      <c r="K229" s="11">
        <v>4.17</v>
      </c>
      <c r="L229" s="10">
        <v>144</v>
      </c>
      <c r="M229" s="10">
        <v>165</v>
      </c>
      <c r="N229" s="10">
        <f>IF(G229&lt;=Cutoffs!$B$4,4,IF(G229&lt;=Cutoffs!$C$4,3,IF(G229&lt;=Cutoffs!$D$4,2,1)))</f>
        <v>3</v>
      </c>
      <c r="O229" s="10">
        <f>IF(F229&gt;=Cutoffs!$D$5,4,IF(F229&gt;=Cutoffs!$C$5,3,IF(F229&gt;=Cutoffs!$B$5,2,1)))</f>
        <v>4</v>
      </c>
      <c r="P229" s="10">
        <f>IF(H229&gt;=Cutoffs!$D$6,4,IF(H229&gt;=Cutoffs!$C$6,3,IF(H229&gt;=Cutoffs!$B$6,2,1)))</f>
        <v>4</v>
      </c>
      <c r="Q229" s="10">
        <f t="shared" si="6"/>
        <v>11</v>
      </c>
      <c r="R229" s="10" t="str">
        <f t="shared" si="7"/>
        <v>Champions</v>
      </c>
    </row>
    <row r="230" spans="1:18" x14ac:dyDescent="0.55000000000000004">
      <c r="A230" s="10" t="s">
        <v>270</v>
      </c>
      <c r="B230" s="10" t="s">
        <v>47</v>
      </c>
      <c r="C230" s="10" t="s">
        <v>35</v>
      </c>
      <c r="D230" s="10" t="s">
        <v>41</v>
      </c>
      <c r="E230" s="10">
        <v>0</v>
      </c>
      <c r="F230" s="10">
        <v>61</v>
      </c>
      <c r="G230" s="10">
        <v>14</v>
      </c>
      <c r="H230" s="10">
        <v>25</v>
      </c>
      <c r="I230" s="11">
        <v>2.65</v>
      </c>
      <c r="J230" s="12">
        <v>0.443</v>
      </c>
      <c r="K230" s="11">
        <v>3.61</v>
      </c>
      <c r="L230" s="10">
        <v>-9</v>
      </c>
      <c r="M230" s="10">
        <v>944</v>
      </c>
      <c r="N230" s="10">
        <f>IF(G230&lt;=Cutoffs!$B$4,4,IF(G230&lt;=Cutoffs!$C$4,3,IF(G230&lt;=Cutoffs!$D$4,2,1)))</f>
        <v>2</v>
      </c>
      <c r="O230" s="10">
        <f>IF(F230&gt;=Cutoffs!$D$5,4,IF(F230&gt;=Cutoffs!$C$5,3,IF(F230&gt;=Cutoffs!$B$5,2,1)))</f>
        <v>2</v>
      </c>
      <c r="P230" s="10">
        <f>IF(H230&gt;=Cutoffs!$D$6,4,IF(H230&gt;=Cutoffs!$C$6,3,IF(H230&gt;=Cutoffs!$B$6,2,1)))</f>
        <v>3</v>
      </c>
      <c r="Q230" s="10">
        <f t="shared" si="6"/>
        <v>7</v>
      </c>
      <c r="R230" s="10" t="str">
        <f t="shared" si="7"/>
        <v>Cooling</v>
      </c>
    </row>
    <row r="231" spans="1:18" x14ac:dyDescent="0.55000000000000004">
      <c r="A231" s="10" t="s">
        <v>271</v>
      </c>
      <c r="B231" s="10" t="s">
        <v>34</v>
      </c>
      <c r="C231" s="10" t="s">
        <v>35</v>
      </c>
      <c r="D231" s="10" t="s">
        <v>36</v>
      </c>
      <c r="E231" s="10">
        <v>0</v>
      </c>
      <c r="F231" s="10">
        <v>53</v>
      </c>
      <c r="G231" s="10">
        <v>6</v>
      </c>
      <c r="H231" s="10">
        <v>26</v>
      </c>
      <c r="I231" s="11">
        <v>1.89</v>
      </c>
      <c r="J231" s="12">
        <v>0.50900000000000001</v>
      </c>
      <c r="K231" s="11">
        <v>3.3</v>
      </c>
      <c r="L231" s="10">
        <v>15</v>
      </c>
      <c r="M231" s="10">
        <v>347</v>
      </c>
      <c r="N231" s="10">
        <f>IF(G231&lt;=Cutoffs!$B$4,4,IF(G231&lt;=Cutoffs!$C$4,3,IF(G231&lt;=Cutoffs!$D$4,2,1)))</f>
        <v>3</v>
      </c>
      <c r="O231" s="10">
        <f>IF(F231&gt;=Cutoffs!$D$5,4,IF(F231&gt;=Cutoffs!$C$5,3,IF(F231&gt;=Cutoffs!$B$5,2,1)))</f>
        <v>2</v>
      </c>
      <c r="P231" s="10">
        <f>IF(H231&gt;=Cutoffs!$D$6,4,IF(H231&gt;=Cutoffs!$C$6,3,IF(H231&gt;=Cutoffs!$B$6,2,1)))</f>
        <v>3</v>
      </c>
      <c r="Q231" s="10">
        <f t="shared" si="6"/>
        <v>8</v>
      </c>
      <c r="R231" s="10" t="str">
        <f t="shared" si="7"/>
        <v>Promising</v>
      </c>
    </row>
    <row r="232" spans="1:18" x14ac:dyDescent="0.55000000000000004">
      <c r="A232" s="10" t="s">
        <v>272</v>
      </c>
      <c r="B232" s="10" t="s">
        <v>58</v>
      </c>
      <c r="C232" s="10" t="s">
        <v>31</v>
      </c>
      <c r="D232" s="10" t="s">
        <v>36</v>
      </c>
      <c r="E232" s="10">
        <v>0</v>
      </c>
      <c r="F232" s="10">
        <v>30</v>
      </c>
      <c r="G232" s="10">
        <v>90</v>
      </c>
      <c r="H232" s="10">
        <v>7</v>
      </c>
      <c r="I232" s="11">
        <v>2.5</v>
      </c>
      <c r="J232" s="12">
        <v>0.4</v>
      </c>
      <c r="K232" s="11">
        <v>1.61</v>
      </c>
      <c r="L232" s="10">
        <v>-30</v>
      </c>
      <c r="M232" s="10">
        <v>212</v>
      </c>
      <c r="N232" s="10">
        <f>IF(G232&lt;=Cutoffs!$B$4,4,IF(G232&lt;=Cutoffs!$C$4,3,IF(G232&lt;=Cutoffs!$D$4,2,1)))</f>
        <v>1</v>
      </c>
      <c r="O232" s="10">
        <f>IF(F232&gt;=Cutoffs!$D$5,4,IF(F232&gt;=Cutoffs!$C$5,3,IF(F232&gt;=Cutoffs!$B$5,2,1)))</f>
        <v>1</v>
      </c>
      <c r="P232" s="10">
        <f>IF(H232&gt;=Cutoffs!$D$6,4,IF(H232&gt;=Cutoffs!$C$6,3,IF(H232&gt;=Cutoffs!$B$6,2,1)))</f>
        <v>1</v>
      </c>
      <c r="Q232" s="10">
        <f t="shared" si="6"/>
        <v>3</v>
      </c>
      <c r="R232" s="10" t="str">
        <f t="shared" si="7"/>
        <v>Dormant</v>
      </c>
    </row>
    <row r="233" spans="1:18" x14ac:dyDescent="0.55000000000000004">
      <c r="A233" s="10" t="s">
        <v>273</v>
      </c>
      <c r="B233" s="10" t="s">
        <v>34</v>
      </c>
      <c r="C233" s="10" t="s">
        <v>35</v>
      </c>
      <c r="D233" s="10" t="s">
        <v>41</v>
      </c>
      <c r="E233" s="10">
        <v>0</v>
      </c>
      <c r="F233" s="10">
        <v>59</v>
      </c>
      <c r="G233" s="10">
        <v>6</v>
      </c>
      <c r="H233" s="10">
        <v>20</v>
      </c>
      <c r="I233" s="11">
        <v>2.68</v>
      </c>
      <c r="J233" s="12">
        <v>0.57599999999999996</v>
      </c>
      <c r="K233" s="11">
        <v>4.63</v>
      </c>
      <c r="L233" s="10">
        <v>37</v>
      </c>
      <c r="M233" s="10">
        <v>821</v>
      </c>
      <c r="N233" s="10">
        <f>IF(G233&lt;=Cutoffs!$B$4,4,IF(G233&lt;=Cutoffs!$C$4,3,IF(G233&lt;=Cutoffs!$D$4,2,1)))</f>
        <v>3</v>
      </c>
      <c r="O233" s="10">
        <f>IF(F233&gt;=Cutoffs!$D$5,4,IF(F233&gt;=Cutoffs!$C$5,3,IF(F233&gt;=Cutoffs!$B$5,2,1)))</f>
        <v>2</v>
      </c>
      <c r="P233" s="10">
        <f>IF(H233&gt;=Cutoffs!$D$6,4,IF(H233&gt;=Cutoffs!$C$6,3,IF(H233&gt;=Cutoffs!$B$6,2,1)))</f>
        <v>3</v>
      </c>
      <c r="Q233" s="10">
        <f t="shared" si="6"/>
        <v>8</v>
      </c>
      <c r="R233" s="10" t="str">
        <f t="shared" si="7"/>
        <v>Promising</v>
      </c>
    </row>
    <row r="234" spans="1:18" x14ac:dyDescent="0.55000000000000004">
      <c r="A234" s="10" t="s">
        <v>274</v>
      </c>
      <c r="B234" s="10" t="s">
        <v>47</v>
      </c>
      <c r="C234" s="10" t="s">
        <v>35</v>
      </c>
      <c r="D234" s="10" t="s">
        <v>36</v>
      </c>
      <c r="E234" s="10">
        <v>0</v>
      </c>
      <c r="F234" s="10">
        <v>39</v>
      </c>
      <c r="G234" s="10">
        <v>46</v>
      </c>
      <c r="H234" s="10">
        <v>8</v>
      </c>
      <c r="I234" s="11">
        <v>3.55</v>
      </c>
      <c r="J234" s="12">
        <v>0.48699999999999999</v>
      </c>
      <c r="K234" s="11">
        <v>2.4700000000000002</v>
      </c>
      <c r="L234" s="10">
        <v>-27</v>
      </c>
      <c r="M234" s="10">
        <v>896</v>
      </c>
      <c r="N234" s="10">
        <f>IF(G234&lt;=Cutoffs!$B$4,4,IF(G234&lt;=Cutoffs!$C$4,3,IF(G234&lt;=Cutoffs!$D$4,2,1)))</f>
        <v>1</v>
      </c>
      <c r="O234" s="10">
        <f>IF(F234&gt;=Cutoffs!$D$5,4,IF(F234&gt;=Cutoffs!$C$5,3,IF(F234&gt;=Cutoffs!$B$5,2,1)))</f>
        <v>1</v>
      </c>
      <c r="P234" s="10">
        <f>IF(H234&gt;=Cutoffs!$D$6,4,IF(H234&gt;=Cutoffs!$C$6,3,IF(H234&gt;=Cutoffs!$B$6,2,1)))</f>
        <v>1</v>
      </c>
      <c r="Q234" s="10">
        <f t="shared" si="6"/>
        <v>3</v>
      </c>
      <c r="R234" s="10" t="str">
        <f t="shared" si="7"/>
        <v>Dormant</v>
      </c>
    </row>
    <row r="235" spans="1:18" x14ac:dyDescent="0.55000000000000004">
      <c r="A235" s="10" t="s">
        <v>275</v>
      </c>
      <c r="B235" s="10" t="s">
        <v>47</v>
      </c>
      <c r="C235" s="10" t="s">
        <v>35</v>
      </c>
      <c r="D235" s="10" t="s">
        <v>32</v>
      </c>
      <c r="E235" s="10">
        <v>0</v>
      </c>
      <c r="F235" s="10">
        <v>36</v>
      </c>
      <c r="G235" s="10">
        <v>41</v>
      </c>
      <c r="H235" s="10">
        <v>19</v>
      </c>
      <c r="I235" s="11">
        <v>6</v>
      </c>
      <c r="J235" s="12">
        <v>0.5</v>
      </c>
      <c r="K235" s="11">
        <v>3.15</v>
      </c>
      <c r="L235" s="10">
        <v>34</v>
      </c>
      <c r="M235" s="10">
        <v>491</v>
      </c>
      <c r="N235" s="10">
        <f>IF(G235&lt;=Cutoffs!$B$4,4,IF(G235&lt;=Cutoffs!$C$4,3,IF(G235&lt;=Cutoffs!$D$4,2,1)))</f>
        <v>1</v>
      </c>
      <c r="O235" s="10">
        <f>IF(F235&gt;=Cutoffs!$D$5,4,IF(F235&gt;=Cutoffs!$C$5,3,IF(F235&gt;=Cutoffs!$B$5,2,1)))</f>
        <v>1</v>
      </c>
      <c r="P235" s="10">
        <f>IF(H235&gt;=Cutoffs!$D$6,4,IF(H235&gt;=Cutoffs!$C$6,3,IF(H235&gt;=Cutoffs!$B$6,2,1)))</f>
        <v>2</v>
      </c>
      <c r="Q235" s="10">
        <f t="shared" si="6"/>
        <v>4</v>
      </c>
      <c r="R235" s="10" t="str">
        <f t="shared" si="7"/>
        <v>Dormant</v>
      </c>
    </row>
    <row r="236" spans="1:18" x14ac:dyDescent="0.55000000000000004">
      <c r="A236" s="10" t="s">
        <v>276</v>
      </c>
      <c r="B236" s="10" t="s">
        <v>34</v>
      </c>
      <c r="C236" s="10" t="s">
        <v>35</v>
      </c>
      <c r="D236" s="10" t="s">
        <v>39</v>
      </c>
      <c r="E236" s="10">
        <v>1</v>
      </c>
      <c r="F236" s="10">
        <v>62</v>
      </c>
      <c r="G236" s="10">
        <v>8</v>
      </c>
      <c r="H236" s="10">
        <v>9</v>
      </c>
      <c r="I236" s="11">
        <v>3.44</v>
      </c>
      <c r="J236" s="12">
        <v>0.61299999999999999</v>
      </c>
      <c r="K236" s="11">
        <v>4.0199999999999996</v>
      </c>
      <c r="L236" s="10">
        <v>30</v>
      </c>
      <c r="M236" s="10">
        <v>44</v>
      </c>
      <c r="N236" s="10">
        <f>IF(G236&lt;=Cutoffs!$B$4,4,IF(G236&lt;=Cutoffs!$C$4,3,IF(G236&lt;=Cutoffs!$D$4,2,1)))</f>
        <v>2</v>
      </c>
      <c r="O236" s="10">
        <f>IF(F236&gt;=Cutoffs!$D$5,4,IF(F236&gt;=Cutoffs!$C$5,3,IF(F236&gt;=Cutoffs!$B$5,2,1)))</f>
        <v>2</v>
      </c>
      <c r="P236" s="10">
        <f>IF(H236&gt;=Cutoffs!$D$6,4,IF(H236&gt;=Cutoffs!$C$6,3,IF(H236&gt;=Cutoffs!$B$6,2,1)))</f>
        <v>1</v>
      </c>
      <c r="Q236" s="10">
        <f t="shared" si="6"/>
        <v>5</v>
      </c>
      <c r="R236" s="10" t="str">
        <f t="shared" si="7"/>
        <v>Cooling</v>
      </c>
    </row>
    <row r="237" spans="1:18" x14ac:dyDescent="0.55000000000000004">
      <c r="A237" s="10" t="s">
        <v>277</v>
      </c>
      <c r="B237" s="10" t="s">
        <v>30</v>
      </c>
      <c r="C237" s="10" t="s">
        <v>31</v>
      </c>
      <c r="D237" s="10" t="s">
        <v>36</v>
      </c>
      <c r="E237" s="10">
        <v>0</v>
      </c>
      <c r="F237" s="10">
        <v>130</v>
      </c>
      <c r="G237" s="10">
        <v>3</v>
      </c>
      <c r="H237" s="10">
        <v>59</v>
      </c>
      <c r="I237" s="11">
        <v>3.1</v>
      </c>
      <c r="J237" s="12">
        <v>0.52300000000000002</v>
      </c>
      <c r="K237" s="11">
        <v>2.5299999999999998</v>
      </c>
      <c r="L237" s="10">
        <v>-36</v>
      </c>
      <c r="M237" s="10">
        <v>815</v>
      </c>
      <c r="N237" s="10">
        <f>IF(G237&lt;=Cutoffs!$B$4,4,IF(G237&lt;=Cutoffs!$C$4,3,IF(G237&lt;=Cutoffs!$D$4,2,1)))</f>
        <v>3</v>
      </c>
      <c r="O237" s="10">
        <f>IF(F237&gt;=Cutoffs!$D$5,4,IF(F237&gt;=Cutoffs!$C$5,3,IF(F237&gt;=Cutoffs!$B$5,2,1)))</f>
        <v>3</v>
      </c>
      <c r="P237" s="10">
        <f>IF(H237&gt;=Cutoffs!$D$6,4,IF(H237&gt;=Cutoffs!$C$6,3,IF(H237&gt;=Cutoffs!$B$6,2,1)))</f>
        <v>4</v>
      </c>
      <c r="Q237" s="10">
        <f t="shared" si="6"/>
        <v>10</v>
      </c>
      <c r="R237" s="10" t="str">
        <f t="shared" si="7"/>
        <v>Champions</v>
      </c>
    </row>
    <row r="238" spans="1:18" x14ac:dyDescent="0.55000000000000004">
      <c r="A238" s="10" t="s">
        <v>278</v>
      </c>
      <c r="B238" s="10" t="s">
        <v>34</v>
      </c>
      <c r="C238" s="10" t="s">
        <v>35</v>
      </c>
      <c r="D238" s="10" t="s">
        <v>39</v>
      </c>
      <c r="E238" s="10">
        <v>0</v>
      </c>
      <c r="F238" s="10">
        <v>31</v>
      </c>
      <c r="G238" s="10">
        <v>21</v>
      </c>
      <c r="H238" s="10">
        <v>2</v>
      </c>
      <c r="I238" s="11">
        <v>2.0699999999999998</v>
      </c>
      <c r="J238" s="12">
        <v>0.64500000000000002</v>
      </c>
      <c r="K238" s="11">
        <v>2.09</v>
      </c>
      <c r="L238" s="10">
        <v>5</v>
      </c>
      <c r="M238" s="10">
        <v>312</v>
      </c>
      <c r="N238" s="10">
        <f>IF(G238&lt;=Cutoffs!$B$4,4,IF(G238&lt;=Cutoffs!$C$4,3,IF(G238&lt;=Cutoffs!$D$4,2,1)))</f>
        <v>2</v>
      </c>
      <c r="O238" s="10">
        <f>IF(F238&gt;=Cutoffs!$D$5,4,IF(F238&gt;=Cutoffs!$C$5,3,IF(F238&gt;=Cutoffs!$B$5,2,1)))</f>
        <v>1</v>
      </c>
      <c r="P238" s="10">
        <f>IF(H238&gt;=Cutoffs!$D$6,4,IF(H238&gt;=Cutoffs!$C$6,3,IF(H238&gt;=Cutoffs!$B$6,2,1)))</f>
        <v>1</v>
      </c>
      <c r="Q238" s="10">
        <f t="shared" si="6"/>
        <v>4</v>
      </c>
      <c r="R238" s="10" t="str">
        <f t="shared" si="7"/>
        <v>Cooling</v>
      </c>
    </row>
    <row r="239" spans="1:18" x14ac:dyDescent="0.55000000000000004">
      <c r="A239" s="10" t="s">
        <v>279</v>
      </c>
      <c r="B239" s="10" t="s">
        <v>34</v>
      </c>
      <c r="C239" s="10" t="s">
        <v>35</v>
      </c>
      <c r="D239" s="10" t="s">
        <v>44</v>
      </c>
      <c r="E239" s="10">
        <v>0</v>
      </c>
      <c r="F239" s="10">
        <v>49</v>
      </c>
      <c r="G239" s="10">
        <v>1</v>
      </c>
      <c r="H239" s="10">
        <v>27</v>
      </c>
      <c r="I239" s="11">
        <v>3.06</v>
      </c>
      <c r="J239" s="12">
        <v>0.44900000000000001</v>
      </c>
      <c r="K239" s="11">
        <v>3.79</v>
      </c>
      <c r="L239" s="10">
        <v>37</v>
      </c>
      <c r="M239" s="10">
        <v>159</v>
      </c>
      <c r="N239" s="10">
        <f>IF(G239&lt;=Cutoffs!$B$4,4,IF(G239&lt;=Cutoffs!$C$4,3,IF(G239&lt;=Cutoffs!$D$4,2,1)))</f>
        <v>4</v>
      </c>
      <c r="O239" s="10">
        <f>IF(F239&gt;=Cutoffs!$D$5,4,IF(F239&gt;=Cutoffs!$C$5,3,IF(F239&gt;=Cutoffs!$B$5,2,1)))</f>
        <v>1</v>
      </c>
      <c r="P239" s="10">
        <f>IF(H239&gt;=Cutoffs!$D$6,4,IF(H239&gt;=Cutoffs!$C$6,3,IF(H239&gt;=Cutoffs!$B$6,2,1)))</f>
        <v>3</v>
      </c>
      <c r="Q239" s="10">
        <f t="shared" si="6"/>
        <v>8</v>
      </c>
      <c r="R239" s="10" t="str">
        <f t="shared" si="7"/>
        <v>Promising</v>
      </c>
    </row>
    <row r="240" spans="1:18" x14ac:dyDescent="0.55000000000000004">
      <c r="A240" s="10" t="s">
        <v>280</v>
      </c>
      <c r="B240" s="10" t="s">
        <v>43</v>
      </c>
      <c r="C240" s="10" t="s">
        <v>31</v>
      </c>
      <c r="D240" s="10" t="s">
        <v>32</v>
      </c>
      <c r="E240" s="10">
        <v>1</v>
      </c>
      <c r="F240" s="10">
        <v>58</v>
      </c>
      <c r="G240" s="10">
        <v>62</v>
      </c>
      <c r="H240" s="10">
        <v>21</v>
      </c>
      <c r="I240" s="11">
        <v>2.0699999999999998</v>
      </c>
      <c r="J240" s="12">
        <v>0.36199999999999999</v>
      </c>
      <c r="K240" s="11">
        <v>2.0099999999999998</v>
      </c>
      <c r="L240" s="10">
        <v>-58</v>
      </c>
      <c r="M240" s="10">
        <v>299</v>
      </c>
      <c r="N240" s="10">
        <f>IF(G240&lt;=Cutoffs!$B$4,4,IF(G240&lt;=Cutoffs!$C$4,3,IF(G240&lt;=Cutoffs!$D$4,2,1)))</f>
        <v>1</v>
      </c>
      <c r="O240" s="10">
        <f>IF(F240&gt;=Cutoffs!$D$5,4,IF(F240&gt;=Cutoffs!$C$5,3,IF(F240&gt;=Cutoffs!$B$5,2,1)))</f>
        <v>2</v>
      </c>
      <c r="P240" s="10">
        <f>IF(H240&gt;=Cutoffs!$D$6,4,IF(H240&gt;=Cutoffs!$C$6,3,IF(H240&gt;=Cutoffs!$B$6,2,1)))</f>
        <v>3</v>
      </c>
      <c r="Q240" s="10">
        <f t="shared" si="6"/>
        <v>6</v>
      </c>
      <c r="R240" s="10" t="str">
        <f t="shared" si="7"/>
        <v>Dormant</v>
      </c>
    </row>
    <row r="241" spans="1:18" x14ac:dyDescent="0.55000000000000004">
      <c r="A241" s="10" t="s">
        <v>281</v>
      </c>
      <c r="B241" s="10" t="s">
        <v>34</v>
      </c>
      <c r="C241" s="10" t="s">
        <v>35</v>
      </c>
      <c r="D241" s="10" t="s">
        <v>39</v>
      </c>
      <c r="E241" s="10">
        <v>0</v>
      </c>
      <c r="F241" s="10">
        <v>112</v>
      </c>
      <c r="G241" s="10">
        <v>0</v>
      </c>
      <c r="H241" s="10">
        <v>17</v>
      </c>
      <c r="I241" s="11">
        <v>3.29</v>
      </c>
      <c r="J241" s="12">
        <v>0.50900000000000001</v>
      </c>
      <c r="K241" s="11">
        <v>3.04</v>
      </c>
      <c r="L241" s="10">
        <v>12</v>
      </c>
      <c r="M241" s="10">
        <v>839</v>
      </c>
      <c r="N241" s="10">
        <f>IF(G241&lt;=Cutoffs!$B$4,4,IF(G241&lt;=Cutoffs!$C$4,3,IF(G241&lt;=Cutoffs!$D$4,2,1)))</f>
        <v>4</v>
      </c>
      <c r="O241" s="10">
        <f>IF(F241&gt;=Cutoffs!$D$5,4,IF(F241&gt;=Cutoffs!$C$5,3,IF(F241&gt;=Cutoffs!$B$5,2,1)))</f>
        <v>3</v>
      </c>
      <c r="P241" s="10">
        <f>IF(H241&gt;=Cutoffs!$D$6,4,IF(H241&gt;=Cutoffs!$C$6,3,IF(H241&gt;=Cutoffs!$B$6,2,1)))</f>
        <v>2</v>
      </c>
      <c r="Q241" s="10">
        <f t="shared" si="6"/>
        <v>9</v>
      </c>
      <c r="R241" s="10" t="str">
        <f t="shared" si="7"/>
        <v>Champions</v>
      </c>
    </row>
    <row r="242" spans="1:18" x14ac:dyDescent="0.55000000000000004">
      <c r="A242" s="10" t="s">
        <v>282</v>
      </c>
      <c r="B242" s="10" t="s">
        <v>47</v>
      </c>
      <c r="C242" s="10" t="s">
        <v>35</v>
      </c>
      <c r="D242" s="10" t="s">
        <v>39</v>
      </c>
      <c r="E242" s="10">
        <v>0</v>
      </c>
      <c r="F242" s="10">
        <v>193</v>
      </c>
      <c r="G242" s="10">
        <v>4</v>
      </c>
      <c r="H242" s="10">
        <v>19</v>
      </c>
      <c r="I242" s="11">
        <v>5.51</v>
      </c>
      <c r="J242" s="12">
        <v>0.53900000000000003</v>
      </c>
      <c r="K242" s="11">
        <v>3.09</v>
      </c>
      <c r="L242" s="10">
        <v>193</v>
      </c>
      <c r="M242" s="10">
        <v>696</v>
      </c>
      <c r="N242" s="10">
        <f>IF(G242&lt;=Cutoffs!$B$4,4,IF(G242&lt;=Cutoffs!$C$4,3,IF(G242&lt;=Cutoffs!$D$4,2,1)))</f>
        <v>3</v>
      </c>
      <c r="O242" s="10">
        <f>IF(F242&gt;=Cutoffs!$D$5,4,IF(F242&gt;=Cutoffs!$C$5,3,IF(F242&gt;=Cutoffs!$B$5,2,1)))</f>
        <v>4</v>
      </c>
      <c r="P242" s="10">
        <f>IF(H242&gt;=Cutoffs!$D$6,4,IF(H242&gt;=Cutoffs!$C$6,3,IF(H242&gt;=Cutoffs!$B$6,2,1)))</f>
        <v>2</v>
      </c>
      <c r="Q242" s="10">
        <f t="shared" si="6"/>
        <v>9</v>
      </c>
      <c r="R242" s="10" t="str">
        <f t="shared" si="7"/>
        <v>Champions</v>
      </c>
    </row>
    <row r="243" spans="1:18" x14ac:dyDescent="0.55000000000000004">
      <c r="A243" s="10" t="s">
        <v>283</v>
      </c>
      <c r="B243" s="10" t="s">
        <v>47</v>
      </c>
      <c r="C243" s="10" t="s">
        <v>35</v>
      </c>
      <c r="D243" s="10" t="s">
        <v>39</v>
      </c>
      <c r="E243" s="10">
        <v>0</v>
      </c>
      <c r="F243" s="10">
        <v>130</v>
      </c>
      <c r="G243" s="10">
        <v>21</v>
      </c>
      <c r="H243" s="10">
        <v>13</v>
      </c>
      <c r="I243" s="11">
        <v>4.4800000000000004</v>
      </c>
      <c r="J243" s="12">
        <v>0.57699999999999996</v>
      </c>
      <c r="K243" s="11">
        <v>5.42</v>
      </c>
      <c r="L243" s="10">
        <v>-8</v>
      </c>
      <c r="M243" s="10">
        <v>114</v>
      </c>
      <c r="N243" s="10">
        <f>IF(G243&lt;=Cutoffs!$B$4,4,IF(G243&lt;=Cutoffs!$C$4,3,IF(G243&lt;=Cutoffs!$D$4,2,1)))</f>
        <v>2</v>
      </c>
      <c r="O243" s="10">
        <f>IF(F243&gt;=Cutoffs!$D$5,4,IF(F243&gt;=Cutoffs!$C$5,3,IF(F243&gt;=Cutoffs!$B$5,2,1)))</f>
        <v>3</v>
      </c>
      <c r="P243" s="10">
        <f>IF(H243&gt;=Cutoffs!$D$6,4,IF(H243&gt;=Cutoffs!$C$6,3,IF(H243&gt;=Cutoffs!$B$6,2,1)))</f>
        <v>2</v>
      </c>
      <c r="Q243" s="10">
        <f t="shared" si="6"/>
        <v>7</v>
      </c>
      <c r="R243" s="10" t="str">
        <f t="shared" si="7"/>
        <v>At risk</v>
      </c>
    </row>
    <row r="244" spans="1:18" x14ac:dyDescent="0.55000000000000004">
      <c r="A244" s="10" t="s">
        <v>284</v>
      </c>
      <c r="B244" s="10" t="s">
        <v>47</v>
      </c>
      <c r="C244" s="10" t="s">
        <v>35</v>
      </c>
      <c r="D244" s="10" t="s">
        <v>44</v>
      </c>
      <c r="E244" s="10">
        <v>0</v>
      </c>
      <c r="F244" s="10">
        <v>69</v>
      </c>
      <c r="G244" s="10">
        <v>1</v>
      </c>
      <c r="H244" s="10">
        <v>27</v>
      </c>
      <c r="I244" s="11">
        <v>4.5999999999999996</v>
      </c>
      <c r="J244" s="12">
        <v>0.47799999999999998</v>
      </c>
      <c r="K244" s="11">
        <v>3.31</v>
      </c>
      <c r="L244" s="10">
        <v>69</v>
      </c>
      <c r="M244" s="10">
        <v>643</v>
      </c>
      <c r="N244" s="10">
        <f>IF(G244&lt;=Cutoffs!$B$4,4,IF(G244&lt;=Cutoffs!$C$4,3,IF(G244&lt;=Cutoffs!$D$4,2,1)))</f>
        <v>4</v>
      </c>
      <c r="O244" s="10">
        <f>IF(F244&gt;=Cutoffs!$D$5,4,IF(F244&gt;=Cutoffs!$C$5,3,IF(F244&gt;=Cutoffs!$B$5,2,1)))</f>
        <v>2</v>
      </c>
      <c r="P244" s="10">
        <f>IF(H244&gt;=Cutoffs!$D$6,4,IF(H244&gt;=Cutoffs!$C$6,3,IF(H244&gt;=Cutoffs!$B$6,2,1)))</f>
        <v>3</v>
      </c>
      <c r="Q244" s="10">
        <f t="shared" si="6"/>
        <v>9</v>
      </c>
      <c r="R244" s="10" t="str">
        <f t="shared" si="7"/>
        <v>Promising</v>
      </c>
    </row>
    <row r="245" spans="1:18" x14ac:dyDescent="0.55000000000000004">
      <c r="A245" s="10" t="s">
        <v>285</v>
      </c>
      <c r="B245" s="10" t="s">
        <v>47</v>
      </c>
      <c r="C245" s="10" t="s">
        <v>35</v>
      </c>
      <c r="D245" s="10" t="s">
        <v>44</v>
      </c>
      <c r="E245" s="10">
        <v>0</v>
      </c>
      <c r="F245" s="10">
        <v>195</v>
      </c>
      <c r="G245" s="10">
        <v>38</v>
      </c>
      <c r="H245" s="10">
        <v>70</v>
      </c>
      <c r="I245" s="11">
        <v>5.57</v>
      </c>
      <c r="J245" s="12">
        <v>0.497</v>
      </c>
      <c r="K245" s="11">
        <v>2.2999999999999998</v>
      </c>
      <c r="L245" s="10">
        <v>-147</v>
      </c>
      <c r="M245" s="10">
        <v>579</v>
      </c>
      <c r="N245" s="10">
        <f>IF(G245&lt;=Cutoffs!$B$4,4,IF(G245&lt;=Cutoffs!$C$4,3,IF(G245&lt;=Cutoffs!$D$4,2,1)))</f>
        <v>1</v>
      </c>
      <c r="O245" s="10">
        <f>IF(F245&gt;=Cutoffs!$D$5,4,IF(F245&gt;=Cutoffs!$C$5,3,IF(F245&gt;=Cutoffs!$B$5,2,1)))</f>
        <v>4</v>
      </c>
      <c r="P245" s="10">
        <f>IF(H245&gt;=Cutoffs!$D$6,4,IF(H245&gt;=Cutoffs!$C$6,3,IF(H245&gt;=Cutoffs!$B$6,2,1)))</f>
        <v>4</v>
      </c>
      <c r="Q245" s="10">
        <f t="shared" si="6"/>
        <v>9</v>
      </c>
      <c r="R245" s="10" t="str">
        <f t="shared" si="7"/>
        <v>At risk</v>
      </c>
    </row>
    <row r="246" spans="1:18" x14ac:dyDescent="0.55000000000000004">
      <c r="A246" s="10" t="s">
        <v>286</v>
      </c>
      <c r="B246" s="10" t="s">
        <v>58</v>
      </c>
      <c r="C246" s="10" t="s">
        <v>31</v>
      </c>
      <c r="D246" s="10" t="s">
        <v>41</v>
      </c>
      <c r="E246" s="10">
        <v>0</v>
      </c>
      <c r="F246" s="10">
        <v>109</v>
      </c>
      <c r="G246" s="10">
        <v>42</v>
      </c>
      <c r="H246" s="10">
        <v>47</v>
      </c>
      <c r="I246" s="11">
        <v>5.74</v>
      </c>
      <c r="J246" s="12">
        <v>0.40400000000000003</v>
      </c>
      <c r="K246" s="11">
        <v>0.84</v>
      </c>
      <c r="L246" s="10">
        <v>-105</v>
      </c>
      <c r="M246" s="10">
        <v>203</v>
      </c>
      <c r="N246" s="10">
        <f>IF(G246&lt;=Cutoffs!$B$4,4,IF(G246&lt;=Cutoffs!$C$4,3,IF(G246&lt;=Cutoffs!$D$4,2,1)))</f>
        <v>1</v>
      </c>
      <c r="O246" s="10">
        <f>IF(F246&gt;=Cutoffs!$D$5,4,IF(F246&gt;=Cutoffs!$C$5,3,IF(F246&gt;=Cutoffs!$B$5,2,1)))</f>
        <v>3</v>
      </c>
      <c r="P246" s="10">
        <f>IF(H246&gt;=Cutoffs!$D$6,4,IF(H246&gt;=Cutoffs!$C$6,3,IF(H246&gt;=Cutoffs!$B$6,2,1)))</f>
        <v>4</v>
      </c>
      <c r="Q246" s="10">
        <f t="shared" si="6"/>
        <v>8</v>
      </c>
      <c r="R246" s="10" t="str">
        <f t="shared" si="7"/>
        <v>At risk</v>
      </c>
    </row>
    <row r="247" spans="1:18" x14ac:dyDescent="0.55000000000000004">
      <c r="A247" s="10" t="s">
        <v>287</v>
      </c>
      <c r="B247" s="10" t="s">
        <v>43</v>
      </c>
      <c r="C247" s="10" t="s">
        <v>31</v>
      </c>
      <c r="D247" s="10" t="s">
        <v>32</v>
      </c>
      <c r="E247" s="10">
        <v>1</v>
      </c>
      <c r="F247" s="10">
        <v>35</v>
      </c>
      <c r="G247" s="10">
        <v>2</v>
      </c>
      <c r="H247" s="10">
        <v>7</v>
      </c>
      <c r="I247" s="11">
        <v>2.69</v>
      </c>
      <c r="J247" s="12">
        <v>0.51400000000000001</v>
      </c>
      <c r="K247" s="11">
        <v>4.4400000000000004</v>
      </c>
      <c r="L247" s="10">
        <v>35</v>
      </c>
      <c r="M247" s="10">
        <v>34</v>
      </c>
      <c r="N247" s="10">
        <f>IF(G247&lt;=Cutoffs!$B$4,4,IF(G247&lt;=Cutoffs!$C$4,3,IF(G247&lt;=Cutoffs!$D$4,2,1)))</f>
        <v>3</v>
      </c>
      <c r="O247" s="10">
        <f>IF(F247&gt;=Cutoffs!$D$5,4,IF(F247&gt;=Cutoffs!$C$5,3,IF(F247&gt;=Cutoffs!$B$5,2,1)))</f>
        <v>1</v>
      </c>
      <c r="P247" s="10">
        <f>IF(H247&gt;=Cutoffs!$D$6,4,IF(H247&gt;=Cutoffs!$C$6,3,IF(H247&gt;=Cutoffs!$B$6,2,1)))</f>
        <v>1</v>
      </c>
      <c r="Q247" s="10">
        <f t="shared" si="6"/>
        <v>5</v>
      </c>
      <c r="R247" s="10" t="str">
        <f t="shared" si="7"/>
        <v>Promising</v>
      </c>
    </row>
    <row r="248" spans="1:18" x14ac:dyDescent="0.55000000000000004">
      <c r="A248" s="10" t="s">
        <v>288</v>
      </c>
      <c r="B248" s="10" t="s">
        <v>58</v>
      </c>
      <c r="C248" s="10" t="s">
        <v>31</v>
      </c>
      <c r="D248" s="10" t="s">
        <v>36</v>
      </c>
      <c r="E248" s="10">
        <v>0</v>
      </c>
      <c r="F248" s="10">
        <v>200</v>
      </c>
      <c r="G248" s="10">
        <v>1</v>
      </c>
      <c r="H248" s="10">
        <v>43</v>
      </c>
      <c r="I248" s="11">
        <v>3.08</v>
      </c>
      <c r="J248" s="12">
        <v>0.46</v>
      </c>
      <c r="K248" s="11">
        <v>2.89</v>
      </c>
      <c r="L248" s="10">
        <v>-4</v>
      </c>
      <c r="M248" s="10">
        <v>184</v>
      </c>
      <c r="N248" s="10">
        <f>IF(G248&lt;=Cutoffs!$B$4,4,IF(G248&lt;=Cutoffs!$C$4,3,IF(G248&lt;=Cutoffs!$D$4,2,1)))</f>
        <v>4</v>
      </c>
      <c r="O248" s="10">
        <f>IF(F248&gt;=Cutoffs!$D$5,4,IF(F248&gt;=Cutoffs!$C$5,3,IF(F248&gt;=Cutoffs!$B$5,2,1)))</f>
        <v>4</v>
      </c>
      <c r="P248" s="10">
        <f>IF(H248&gt;=Cutoffs!$D$6,4,IF(H248&gt;=Cutoffs!$C$6,3,IF(H248&gt;=Cutoffs!$B$6,2,1)))</f>
        <v>4</v>
      </c>
      <c r="Q248" s="10">
        <f t="shared" si="6"/>
        <v>12</v>
      </c>
      <c r="R248" s="10" t="str">
        <f t="shared" si="7"/>
        <v>Champions</v>
      </c>
    </row>
    <row r="249" spans="1:18" x14ac:dyDescent="0.55000000000000004">
      <c r="A249" s="10" t="s">
        <v>289</v>
      </c>
      <c r="B249" s="10" t="s">
        <v>34</v>
      </c>
      <c r="C249" s="10" t="s">
        <v>35</v>
      </c>
      <c r="D249" s="10" t="s">
        <v>32</v>
      </c>
      <c r="E249" s="10">
        <v>0</v>
      </c>
      <c r="F249" s="10">
        <v>38</v>
      </c>
      <c r="G249" s="10">
        <v>6</v>
      </c>
      <c r="H249" s="10">
        <v>6</v>
      </c>
      <c r="I249" s="11">
        <v>3.8</v>
      </c>
      <c r="J249" s="12">
        <v>0.60499999999999998</v>
      </c>
      <c r="K249" s="11">
        <v>4.46</v>
      </c>
      <c r="L249" s="10">
        <v>-16</v>
      </c>
      <c r="M249" s="10">
        <v>593</v>
      </c>
      <c r="N249" s="10">
        <f>IF(G249&lt;=Cutoffs!$B$4,4,IF(G249&lt;=Cutoffs!$C$4,3,IF(G249&lt;=Cutoffs!$D$4,2,1)))</f>
        <v>3</v>
      </c>
      <c r="O249" s="10">
        <f>IF(F249&gt;=Cutoffs!$D$5,4,IF(F249&gt;=Cutoffs!$C$5,3,IF(F249&gt;=Cutoffs!$B$5,2,1)))</f>
        <v>1</v>
      </c>
      <c r="P249" s="10">
        <f>IF(H249&gt;=Cutoffs!$D$6,4,IF(H249&gt;=Cutoffs!$C$6,3,IF(H249&gt;=Cutoffs!$B$6,2,1)))</f>
        <v>1</v>
      </c>
      <c r="Q249" s="10">
        <f t="shared" si="6"/>
        <v>5</v>
      </c>
      <c r="R249" s="10" t="str">
        <f t="shared" si="7"/>
        <v>Promising</v>
      </c>
    </row>
    <row r="250" spans="1:18" x14ac:dyDescent="0.55000000000000004">
      <c r="A250" s="10" t="s">
        <v>290</v>
      </c>
      <c r="B250" s="10" t="s">
        <v>58</v>
      </c>
      <c r="C250" s="10" t="s">
        <v>31</v>
      </c>
      <c r="D250" s="10" t="s">
        <v>36</v>
      </c>
      <c r="E250" s="10">
        <v>0</v>
      </c>
      <c r="F250" s="10">
        <v>125</v>
      </c>
      <c r="G250" s="10">
        <v>1</v>
      </c>
      <c r="H250" s="10">
        <v>10</v>
      </c>
      <c r="I250" s="11">
        <v>3.38</v>
      </c>
      <c r="J250" s="12">
        <v>0.40799999999999997</v>
      </c>
      <c r="K250" s="11">
        <v>2.2200000000000002</v>
      </c>
      <c r="L250" s="10">
        <v>101</v>
      </c>
      <c r="M250" s="10">
        <v>43</v>
      </c>
      <c r="N250" s="10">
        <f>IF(G250&lt;=Cutoffs!$B$4,4,IF(G250&lt;=Cutoffs!$C$4,3,IF(G250&lt;=Cutoffs!$D$4,2,1)))</f>
        <v>4</v>
      </c>
      <c r="O250" s="10">
        <f>IF(F250&gt;=Cutoffs!$D$5,4,IF(F250&gt;=Cutoffs!$C$5,3,IF(F250&gt;=Cutoffs!$B$5,2,1)))</f>
        <v>3</v>
      </c>
      <c r="P250" s="10">
        <f>IF(H250&gt;=Cutoffs!$D$6,4,IF(H250&gt;=Cutoffs!$C$6,3,IF(H250&gt;=Cutoffs!$B$6,2,1)))</f>
        <v>1</v>
      </c>
      <c r="Q250" s="10">
        <f t="shared" si="6"/>
        <v>8</v>
      </c>
      <c r="R250" s="10" t="str">
        <f t="shared" si="7"/>
        <v>Champions</v>
      </c>
    </row>
    <row r="251" spans="1:18" x14ac:dyDescent="0.55000000000000004">
      <c r="A251" s="10" t="s">
        <v>291</v>
      </c>
      <c r="B251" s="10" t="s">
        <v>47</v>
      </c>
      <c r="C251" s="10" t="s">
        <v>35</v>
      </c>
      <c r="D251" s="10" t="s">
        <v>36</v>
      </c>
      <c r="E251" s="10">
        <v>1</v>
      </c>
      <c r="F251" s="10">
        <v>124</v>
      </c>
      <c r="G251" s="10">
        <v>46</v>
      </c>
      <c r="H251" s="10">
        <v>6</v>
      </c>
      <c r="I251" s="11">
        <v>5.64</v>
      </c>
      <c r="J251" s="12">
        <v>0.59699999999999998</v>
      </c>
      <c r="K251" s="11">
        <v>4.75</v>
      </c>
      <c r="L251" s="10">
        <v>44</v>
      </c>
      <c r="M251" s="10">
        <v>308</v>
      </c>
      <c r="N251" s="10">
        <f>IF(G251&lt;=Cutoffs!$B$4,4,IF(G251&lt;=Cutoffs!$C$4,3,IF(G251&lt;=Cutoffs!$D$4,2,1)))</f>
        <v>1</v>
      </c>
      <c r="O251" s="10">
        <f>IF(F251&gt;=Cutoffs!$D$5,4,IF(F251&gt;=Cutoffs!$C$5,3,IF(F251&gt;=Cutoffs!$B$5,2,1)))</f>
        <v>3</v>
      </c>
      <c r="P251" s="10">
        <f>IF(H251&gt;=Cutoffs!$D$6,4,IF(H251&gt;=Cutoffs!$C$6,3,IF(H251&gt;=Cutoffs!$B$6,2,1)))</f>
        <v>1</v>
      </c>
      <c r="Q251" s="10">
        <f t="shared" si="6"/>
        <v>5</v>
      </c>
      <c r="R251" s="10" t="str">
        <f t="shared" si="7"/>
        <v>At risk</v>
      </c>
    </row>
    <row r="252" spans="1:18" x14ac:dyDescent="0.55000000000000004">
      <c r="A252" s="10" t="s">
        <v>292</v>
      </c>
      <c r="B252" s="10" t="s">
        <v>38</v>
      </c>
      <c r="C252" s="10" t="s">
        <v>35</v>
      </c>
      <c r="D252" s="10" t="s">
        <v>44</v>
      </c>
      <c r="E252" s="10">
        <v>0</v>
      </c>
      <c r="F252" s="10">
        <v>33</v>
      </c>
      <c r="G252" s="10">
        <v>28</v>
      </c>
      <c r="H252" s="10">
        <v>4</v>
      </c>
      <c r="I252" s="11">
        <v>2.54</v>
      </c>
      <c r="J252" s="12">
        <v>0.63600000000000001</v>
      </c>
      <c r="K252" s="11">
        <v>4.01</v>
      </c>
      <c r="L252" s="10">
        <v>-11</v>
      </c>
      <c r="M252" s="10">
        <v>613</v>
      </c>
      <c r="N252" s="10">
        <f>IF(G252&lt;=Cutoffs!$B$4,4,IF(G252&lt;=Cutoffs!$C$4,3,IF(G252&lt;=Cutoffs!$D$4,2,1)))</f>
        <v>1</v>
      </c>
      <c r="O252" s="10">
        <f>IF(F252&gt;=Cutoffs!$D$5,4,IF(F252&gt;=Cutoffs!$C$5,3,IF(F252&gt;=Cutoffs!$B$5,2,1)))</f>
        <v>1</v>
      </c>
      <c r="P252" s="10">
        <f>IF(H252&gt;=Cutoffs!$D$6,4,IF(H252&gt;=Cutoffs!$C$6,3,IF(H252&gt;=Cutoffs!$B$6,2,1)))</f>
        <v>1</v>
      </c>
      <c r="Q252" s="10">
        <f t="shared" si="6"/>
        <v>3</v>
      </c>
      <c r="R252" s="10" t="str">
        <f t="shared" si="7"/>
        <v>Dormant</v>
      </c>
    </row>
    <row r="253" spans="1:18" x14ac:dyDescent="0.55000000000000004">
      <c r="A253" s="10" t="s">
        <v>293</v>
      </c>
      <c r="B253" s="10" t="s">
        <v>58</v>
      </c>
      <c r="C253" s="10" t="s">
        <v>31</v>
      </c>
      <c r="D253" s="10" t="s">
        <v>32</v>
      </c>
      <c r="E253" s="10">
        <v>0</v>
      </c>
      <c r="F253" s="10">
        <v>31</v>
      </c>
      <c r="G253" s="10">
        <v>1</v>
      </c>
      <c r="H253" s="10">
        <v>6</v>
      </c>
      <c r="I253" s="11">
        <v>2.58</v>
      </c>
      <c r="J253" s="12">
        <v>0.41899999999999998</v>
      </c>
      <c r="K253" s="11">
        <v>1.54</v>
      </c>
      <c r="L253" s="10">
        <v>23</v>
      </c>
      <c r="M253" s="10">
        <v>194</v>
      </c>
      <c r="N253" s="10">
        <f>IF(G253&lt;=Cutoffs!$B$4,4,IF(G253&lt;=Cutoffs!$C$4,3,IF(G253&lt;=Cutoffs!$D$4,2,1)))</f>
        <v>4</v>
      </c>
      <c r="O253" s="10">
        <f>IF(F253&gt;=Cutoffs!$D$5,4,IF(F253&gt;=Cutoffs!$C$5,3,IF(F253&gt;=Cutoffs!$B$5,2,1)))</f>
        <v>1</v>
      </c>
      <c r="P253" s="10">
        <f>IF(H253&gt;=Cutoffs!$D$6,4,IF(H253&gt;=Cutoffs!$C$6,3,IF(H253&gt;=Cutoffs!$B$6,2,1)))</f>
        <v>1</v>
      </c>
      <c r="Q253" s="10">
        <f t="shared" si="6"/>
        <v>6</v>
      </c>
      <c r="R253" s="10" t="str">
        <f t="shared" si="7"/>
        <v>Promising</v>
      </c>
    </row>
    <row r="254" spans="1:18" x14ac:dyDescent="0.55000000000000004">
      <c r="A254" s="10" t="s">
        <v>294</v>
      </c>
      <c r="B254" s="10" t="s">
        <v>43</v>
      </c>
      <c r="C254" s="10" t="s">
        <v>31</v>
      </c>
      <c r="D254" s="10" t="s">
        <v>41</v>
      </c>
      <c r="E254" s="10">
        <v>0</v>
      </c>
      <c r="F254" s="10">
        <v>151</v>
      </c>
      <c r="G254" s="10">
        <v>61</v>
      </c>
      <c r="H254" s="10">
        <v>12</v>
      </c>
      <c r="I254" s="11">
        <v>3.97</v>
      </c>
      <c r="J254" s="12">
        <v>0.47</v>
      </c>
      <c r="K254" s="11">
        <v>5.13</v>
      </c>
      <c r="L254" s="10">
        <v>-151</v>
      </c>
      <c r="M254" s="10">
        <v>332</v>
      </c>
      <c r="N254" s="10">
        <f>IF(G254&lt;=Cutoffs!$B$4,4,IF(G254&lt;=Cutoffs!$C$4,3,IF(G254&lt;=Cutoffs!$D$4,2,1)))</f>
        <v>1</v>
      </c>
      <c r="O254" s="10">
        <f>IF(F254&gt;=Cutoffs!$D$5,4,IF(F254&gt;=Cutoffs!$C$5,3,IF(F254&gt;=Cutoffs!$B$5,2,1)))</f>
        <v>3</v>
      </c>
      <c r="P254" s="10">
        <f>IF(H254&gt;=Cutoffs!$D$6,4,IF(H254&gt;=Cutoffs!$C$6,3,IF(H254&gt;=Cutoffs!$B$6,2,1)))</f>
        <v>2</v>
      </c>
      <c r="Q254" s="10">
        <f t="shared" si="6"/>
        <v>6</v>
      </c>
      <c r="R254" s="10" t="str">
        <f t="shared" si="7"/>
        <v>At risk</v>
      </c>
    </row>
    <row r="255" spans="1:18" x14ac:dyDescent="0.55000000000000004">
      <c r="A255" s="10" t="s">
        <v>295</v>
      </c>
      <c r="B255" s="10" t="s">
        <v>43</v>
      </c>
      <c r="C255" s="10" t="s">
        <v>31</v>
      </c>
      <c r="D255" s="10" t="s">
        <v>41</v>
      </c>
      <c r="E255" s="10">
        <v>0</v>
      </c>
      <c r="F255" s="10">
        <v>194</v>
      </c>
      <c r="G255" s="10">
        <v>3</v>
      </c>
      <c r="H255" s="10">
        <v>10</v>
      </c>
      <c r="I255" s="11">
        <v>3.88</v>
      </c>
      <c r="J255" s="12">
        <v>0.51500000000000001</v>
      </c>
      <c r="K255" s="11">
        <v>3.29</v>
      </c>
      <c r="L255" s="10">
        <v>34</v>
      </c>
      <c r="M255" s="10">
        <v>228</v>
      </c>
      <c r="N255" s="10">
        <f>IF(G255&lt;=Cutoffs!$B$4,4,IF(G255&lt;=Cutoffs!$C$4,3,IF(G255&lt;=Cutoffs!$D$4,2,1)))</f>
        <v>3</v>
      </c>
      <c r="O255" s="10">
        <f>IF(F255&gt;=Cutoffs!$D$5,4,IF(F255&gt;=Cutoffs!$C$5,3,IF(F255&gt;=Cutoffs!$B$5,2,1)))</f>
        <v>4</v>
      </c>
      <c r="P255" s="10">
        <f>IF(H255&gt;=Cutoffs!$D$6,4,IF(H255&gt;=Cutoffs!$C$6,3,IF(H255&gt;=Cutoffs!$B$6,2,1)))</f>
        <v>1</v>
      </c>
      <c r="Q255" s="10">
        <f t="shared" si="6"/>
        <v>8</v>
      </c>
      <c r="R255" s="10" t="str">
        <f t="shared" si="7"/>
        <v>Champions</v>
      </c>
    </row>
    <row r="256" spans="1:18" x14ac:dyDescent="0.55000000000000004">
      <c r="A256" s="10" t="s">
        <v>296</v>
      </c>
      <c r="B256" s="10" t="s">
        <v>34</v>
      </c>
      <c r="C256" s="10" t="s">
        <v>35</v>
      </c>
      <c r="D256" s="10" t="s">
        <v>36</v>
      </c>
      <c r="E256" s="10">
        <v>0</v>
      </c>
      <c r="F256" s="10">
        <v>63</v>
      </c>
      <c r="G256" s="10">
        <v>5</v>
      </c>
      <c r="H256" s="10">
        <v>12</v>
      </c>
      <c r="I256" s="11">
        <v>1.7</v>
      </c>
      <c r="J256" s="12">
        <v>0.61899999999999999</v>
      </c>
      <c r="K256" s="11">
        <v>2.4</v>
      </c>
      <c r="L256" s="10">
        <v>-21</v>
      </c>
      <c r="M256" s="10">
        <v>54</v>
      </c>
      <c r="N256" s="10">
        <f>IF(G256&lt;=Cutoffs!$B$4,4,IF(G256&lt;=Cutoffs!$C$4,3,IF(G256&lt;=Cutoffs!$D$4,2,1)))</f>
        <v>3</v>
      </c>
      <c r="O256" s="10">
        <f>IF(F256&gt;=Cutoffs!$D$5,4,IF(F256&gt;=Cutoffs!$C$5,3,IF(F256&gt;=Cutoffs!$B$5,2,1)))</f>
        <v>2</v>
      </c>
      <c r="P256" s="10">
        <f>IF(H256&gt;=Cutoffs!$D$6,4,IF(H256&gt;=Cutoffs!$C$6,3,IF(H256&gt;=Cutoffs!$B$6,2,1)))</f>
        <v>2</v>
      </c>
      <c r="Q256" s="10">
        <f t="shared" si="6"/>
        <v>7</v>
      </c>
      <c r="R256" s="10" t="str">
        <f t="shared" si="7"/>
        <v>Promising</v>
      </c>
    </row>
    <row r="257" spans="1:18" x14ac:dyDescent="0.55000000000000004">
      <c r="A257" s="10" t="s">
        <v>297</v>
      </c>
      <c r="B257" s="10" t="s">
        <v>34</v>
      </c>
      <c r="C257" s="10" t="s">
        <v>35</v>
      </c>
      <c r="D257" s="10" t="s">
        <v>32</v>
      </c>
      <c r="E257" s="10">
        <v>0</v>
      </c>
      <c r="F257" s="10">
        <v>117</v>
      </c>
      <c r="G257" s="10">
        <v>10</v>
      </c>
      <c r="H257" s="10">
        <v>15</v>
      </c>
      <c r="I257" s="11">
        <v>4.18</v>
      </c>
      <c r="J257" s="12">
        <v>0.496</v>
      </c>
      <c r="K257" s="11">
        <v>3.62</v>
      </c>
      <c r="L257" s="10">
        <v>69</v>
      </c>
      <c r="M257" s="10">
        <v>347</v>
      </c>
      <c r="N257" s="10">
        <f>IF(G257&lt;=Cutoffs!$B$4,4,IF(G257&lt;=Cutoffs!$C$4,3,IF(G257&lt;=Cutoffs!$D$4,2,1)))</f>
        <v>2</v>
      </c>
      <c r="O257" s="10">
        <f>IF(F257&gt;=Cutoffs!$D$5,4,IF(F257&gt;=Cutoffs!$C$5,3,IF(F257&gt;=Cutoffs!$B$5,2,1)))</f>
        <v>3</v>
      </c>
      <c r="P257" s="10">
        <f>IF(H257&gt;=Cutoffs!$D$6,4,IF(H257&gt;=Cutoffs!$C$6,3,IF(H257&gt;=Cutoffs!$B$6,2,1)))</f>
        <v>2</v>
      </c>
      <c r="Q257" s="10">
        <f t="shared" si="6"/>
        <v>7</v>
      </c>
      <c r="R257" s="10" t="str">
        <f t="shared" si="7"/>
        <v>At risk</v>
      </c>
    </row>
    <row r="258" spans="1:18" x14ac:dyDescent="0.55000000000000004">
      <c r="A258" s="10" t="s">
        <v>298</v>
      </c>
      <c r="B258" s="10" t="s">
        <v>43</v>
      </c>
      <c r="C258" s="10" t="s">
        <v>31</v>
      </c>
      <c r="D258" s="10" t="s">
        <v>41</v>
      </c>
      <c r="E258" s="10">
        <v>0</v>
      </c>
      <c r="F258" s="10">
        <v>195</v>
      </c>
      <c r="G258" s="10">
        <v>1</v>
      </c>
      <c r="H258" s="10">
        <v>23</v>
      </c>
      <c r="I258" s="11">
        <v>3.05</v>
      </c>
      <c r="J258" s="12">
        <v>0.49199999999999999</v>
      </c>
      <c r="K258" s="11">
        <v>3.06</v>
      </c>
      <c r="L258" s="10">
        <v>-111</v>
      </c>
      <c r="M258" s="10">
        <v>733</v>
      </c>
      <c r="N258" s="10">
        <f>IF(G258&lt;=Cutoffs!$B$4,4,IF(G258&lt;=Cutoffs!$C$4,3,IF(G258&lt;=Cutoffs!$D$4,2,1)))</f>
        <v>4</v>
      </c>
      <c r="O258" s="10">
        <f>IF(F258&gt;=Cutoffs!$D$5,4,IF(F258&gt;=Cutoffs!$C$5,3,IF(F258&gt;=Cutoffs!$B$5,2,1)))</f>
        <v>4</v>
      </c>
      <c r="P258" s="10">
        <f>IF(H258&gt;=Cutoffs!$D$6,4,IF(H258&gt;=Cutoffs!$C$6,3,IF(H258&gt;=Cutoffs!$B$6,2,1)))</f>
        <v>3</v>
      </c>
      <c r="Q258" s="10">
        <f t="shared" ref="Q258:Q321" si="8">N258+O258+P258</f>
        <v>11</v>
      </c>
      <c r="R258" s="10" t="str">
        <f t="shared" ref="R258:R321" si="9">IF(AND(N258&gt;=3,O258&gt;=3),"Champions",IF(N258&gt;=3,"Promising",IF(AND(O258&gt;=3,N258&lt;=2),"At risk",IF(N258=2,"Cooling","Dormant"))))</f>
        <v>Champions</v>
      </c>
    </row>
    <row r="259" spans="1:18" x14ac:dyDescent="0.55000000000000004">
      <c r="A259" s="10" t="s">
        <v>299</v>
      </c>
      <c r="B259" s="10" t="s">
        <v>47</v>
      </c>
      <c r="C259" s="10" t="s">
        <v>35</v>
      </c>
      <c r="D259" s="10" t="s">
        <v>41</v>
      </c>
      <c r="E259" s="10">
        <v>1</v>
      </c>
      <c r="F259" s="10">
        <v>68</v>
      </c>
      <c r="G259" s="10">
        <v>3</v>
      </c>
      <c r="H259" s="10">
        <v>9</v>
      </c>
      <c r="I259" s="11">
        <v>3.24</v>
      </c>
      <c r="J259" s="12">
        <v>0.54400000000000004</v>
      </c>
      <c r="K259" s="11">
        <v>3.92</v>
      </c>
      <c r="L259" s="10">
        <v>-16</v>
      </c>
      <c r="M259" s="10">
        <v>637</v>
      </c>
      <c r="N259" s="10">
        <f>IF(G259&lt;=Cutoffs!$B$4,4,IF(G259&lt;=Cutoffs!$C$4,3,IF(G259&lt;=Cutoffs!$D$4,2,1)))</f>
        <v>3</v>
      </c>
      <c r="O259" s="10">
        <f>IF(F259&gt;=Cutoffs!$D$5,4,IF(F259&gt;=Cutoffs!$C$5,3,IF(F259&gt;=Cutoffs!$B$5,2,1)))</f>
        <v>2</v>
      </c>
      <c r="P259" s="10">
        <f>IF(H259&gt;=Cutoffs!$D$6,4,IF(H259&gt;=Cutoffs!$C$6,3,IF(H259&gt;=Cutoffs!$B$6,2,1)))</f>
        <v>1</v>
      </c>
      <c r="Q259" s="10">
        <f t="shared" si="8"/>
        <v>6</v>
      </c>
      <c r="R259" s="10" t="str">
        <f t="shared" si="9"/>
        <v>Promising</v>
      </c>
    </row>
    <row r="260" spans="1:18" x14ac:dyDescent="0.55000000000000004">
      <c r="A260" s="10" t="s">
        <v>300</v>
      </c>
      <c r="B260" s="10" t="s">
        <v>30</v>
      </c>
      <c r="C260" s="10" t="s">
        <v>31</v>
      </c>
      <c r="D260" s="10" t="s">
        <v>39</v>
      </c>
      <c r="E260" s="10">
        <v>1</v>
      </c>
      <c r="F260" s="10">
        <v>30</v>
      </c>
      <c r="G260" s="10">
        <v>52</v>
      </c>
      <c r="H260" s="10">
        <v>22</v>
      </c>
      <c r="I260" s="11">
        <v>6</v>
      </c>
      <c r="J260" s="12">
        <v>0.36699999999999999</v>
      </c>
      <c r="K260" s="11">
        <v>3.81</v>
      </c>
      <c r="L260" s="10">
        <v>6</v>
      </c>
      <c r="M260" s="10">
        <v>672</v>
      </c>
      <c r="N260" s="10">
        <f>IF(G260&lt;=Cutoffs!$B$4,4,IF(G260&lt;=Cutoffs!$C$4,3,IF(G260&lt;=Cutoffs!$D$4,2,1)))</f>
        <v>1</v>
      </c>
      <c r="O260" s="10">
        <f>IF(F260&gt;=Cutoffs!$D$5,4,IF(F260&gt;=Cutoffs!$C$5,3,IF(F260&gt;=Cutoffs!$B$5,2,1)))</f>
        <v>1</v>
      </c>
      <c r="P260" s="10">
        <f>IF(H260&gt;=Cutoffs!$D$6,4,IF(H260&gt;=Cutoffs!$C$6,3,IF(H260&gt;=Cutoffs!$B$6,2,1)))</f>
        <v>3</v>
      </c>
      <c r="Q260" s="10">
        <f t="shared" si="8"/>
        <v>5</v>
      </c>
      <c r="R260" s="10" t="str">
        <f t="shared" si="9"/>
        <v>Dormant</v>
      </c>
    </row>
    <row r="261" spans="1:18" x14ac:dyDescent="0.55000000000000004">
      <c r="A261" s="10" t="s">
        <v>301</v>
      </c>
      <c r="B261" s="10" t="s">
        <v>30</v>
      </c>
      <c r="C261" s="10" t="s">
        <v>31</v>
      </c>
      <c r="D261" s="10" t="s">
        <v>36</v>
      </c>
      <c r="E261" s="10">
        <v>0</v>
      </c>
      <c r="F261" s="10">
        <v>45</v>
      </c>
      <c r="G261" s="10">
        <v>1</v>
      </c>
      <c r="H261" s="10">
        <v>7</v>
      </c>
      <c r="I261" s="11">
        <v>6.43</v>
      </c>
      <c r="J261" s="12">
        <v>0.51100000000000001</v>
      </c>
      <c r="K261" s="11">
        <v>2.8</v>
      </c>
      <c r="L261" s="10">
        <v>45</v>
      </c>
      <c r="M261" s="10">
        <v>320</v>
      </c>
      <c r="N261" s="10">
        <f>IF(G261&lt;=Cutoffs!$B$4,4,IF(G261&lt;=Cutoffs!$C$4,3,IF(G261&lt;=Cutoffs!$D$4,2,1)))</f>
        <v>4</v>
      </c>
      <c r="O261" s="10">
        <f>IF(F261&gt;=Cutoffs!$D$5,4,IF(F261&gt;=Cutoffs!$C$5,3,IF(F261&gt;=Cutoffs!$B$5,2,1)))</f>
        <v>1</v>
      </c>
      <c r="P261" s="10">
        <f>IF(H261&gt;=Cutoffs!$D$6,4,IF(H261&gt;=Cutoffs!$C$6,3,IF(H261&gt;=Cutoffs!$B$6,2,1)))</f>
        <v>1</v>
      </c>
      <c r="Q261" s="10">
        <f t="shared" si="8"/>
        <v>6</v>
      </c>
      <c r="R261" s="10" t="str">
        <f t="shared" si="9"/>
        <v>Promising</v>
      </c>
    </row>
    <row r="262" spans="1:18" x14ac:dyDescent="0.55000000000000004">
      <c r="A262" s="10" t="s">
        <v>302</v>
      </c>
      <c r="B262" s="10" t="s">
        <v>47</v>
      </c>
      <c r="C262" s="10" t="s">
        <v>35</v>
      </c>
      <c r="D262" s="10" t="s">
        <v>39</v>
      </c>
      <c r="E262" s="10">
        <v>0</v>
      </c>
      <c r="F262" s="10">
        <v>197</v>
      </c>
      <c r="G262" s="10">
        <v>20</v>
      </c>
      <c r="H262" s="10">
        <v>35</v>
      </c>
      <c r="I262" s="11">
        <v>4.6900000000000004</v>
      </c>
      <c r="J262" s="12">
        <v>0.502</v>
      </c>
      <c r="K262" s="11">
        <v>3.73</v>
      </c>
      <c r="L262" s="10">
        <v>-65</v>
      </c>
      <c r="M262" s="10">
        <v>658</v>
      </c>
      <c r="N262" s="10">
        <f>IF(G262&lt;=Cutoffs!$B$4,4,IF(G262&lt;=Cutoffs!$C$4,3,IF(G262&lt;=Cutoffs!$D$4,2,1)))</f>
        <v>2</v>
      </c>
      <c r="O262" s="10">
        <f>IF(F262&gt;=Cutoffs!$D$5,4,IF(F262&gt;=Cutoffs!$C$5,3,IF(F262&gt;=Cutoffs!$B$5,2,1)))</f>
        <v>4</v>
      </c>
      <c r="P262" s="10">
        <f>IF(H262&gt;=Cutoffs!$D$6,4,IF(H262&gt;=Cutoffs!$C$6,3,IF(H262&gt;=Cutoffs!$B$6,2,1)))</f>
        <v>4</v>
      </c>
      <c r="Q262" s="10">
        <f t="shared" si="8"/>
        <v>10</v>
      </c>
      <c r="R262" s="10" t="str">
        <f t="shared" si="9"/>
        <v>At risk</v>
      </c>
    </row>
    <row r="263" spans="1:18" x14ac:dyDescent="0.55000000000000004">
      <c r="A263" s="10" t="s">
        <v>303</v>
      </c>
      <c r="B263" s="10" t="s">
        <v>38</v>
      </c>
      <c r="C263" s="10" t="s">
        <v>35</v>
      </c>
      <c r="D263" s="10" t="s">
        <v>44</v>
      </c>
      <c r="E263" s="10">
        <v>1</v>
      </c>
      <c r="F263" s="10">
        <v>59</v>
      </c>
      <c r="G263" s="10">
        <v>61</v>
      </c>
      <c r="H263" s="10">
        <v>30</v>
      </c>
      <c r="I263" s="11">
        <v>3.28</v>
      </c>
      <c r="J263" s="12">
        <v>0.61</v>
      </c>
      <c r="K263" s="11">
        <v>2.8</v>
      </c>
      <c r="L263" s="10">
        <v>-55</v>
      </c>
      <c r="M263" s="10">
        <v>86</v>
      </c>
      <c r="N263" s="10">
        <f>IF(G263&lt;=Cutoffs!$B$4,4,IF(G263&lt;=Cutoffs!$C$4,3,IF(G263&lt;=Cutoffs!$D$4,2,1)))</f>
        <v>1</v>
      </c>
      <c r="O263" s="10">
        <f>IF(F263&gt;=Cutoffs!$D$5,4,IF(F263&gt;=Cutoffs!$C$5,3,IF(F263&gt;=Cutoffs!$B$5,2,1)))</f>
        <v>2</v>
      </c>
      <c r="P263" s="10">
        <f>IF(H263&gt;=Cutoffs!$D$6,4,IF(H263&gt;=Cutoffs!$C$6,3,IF(H263&gt;=Cutoffs!$B$6,2,1)))</f>
        <v>4</v>
      </c>
      <c r="Q263" s="10">
        <f t="shared" si="8"/>
        <v>7</v>
      </c>
      <c r="R263" s="10" t="str">
        <f t="shared" si="9"/>
        <v>Dormant</v>
      </c>
    </row>
    <row r="264" spans="1:18" x14ac:dyDescent="0.55000000000000004">
      <c r="A264" s="10" t="s">
        <v>304</v>
      </c>
      <c r="B264" s="10" t="s">
        <v>58</v>
      </c>
      <c r="C264" s="10" t="s">
        <v>31</v>
      </c>
      <c r="D264" s="10" t="s">
        <v>39</v>
      </c>
      <c r="E264" s="10">
        <v>1</v>
      </c>
      <c r="F264" s="10">
        <v>32</v>
      </c>
      <c r="G264" s="10">
        <v>29</v>
      </c>
      <c r="H264" s="10">
        <v>8</v>
      </c>
      <c r="I264" s="11">
        <v>2</v>
      </c>
      <c r="J264" s="12">
        <v>0.312</v>
      </c>
      <c r="K264" s="11">
        <v>2.35</v>
      </c>
      <c r="L264" s="10">
        <v>2</v>
      </c>
      <c r="M264" s="10">
        <v>73</v>
      </c>
      <c r="N264" s="10">
        <f>IF(G264&lt;=Cutoffs!$B$4,4,IF(G264&lt;=Cutoffs!$C$4,3,IF(G264&lt;=Cutoffs!$D$4,2,1)))</f>
        <v>1</v>
      </c>
      <c r="O264" s="10">
        <f>IF(F264&gt;=Cutoffs!$D$5,4,IF(F264&gt;=Cutoffs!$C$5,3,IF(F264&gt;=Cutoffs!$B$5,2,1)))</f>
        <v>1</v>
      </c>
      <c r="P264" s="10">
        <f>IF(H264&gt;=Cutoffs!$D$6,4,IF(H264&gt;=Cutoffs!$C$6,3,IF(H264&gt;=Cutoffs!$B$6,2,1)))</f>
        <v>1</v>
      </c>
      <c r="Q264" s="10">
        <f t="shared" si="8"/>
        <v>3</v>
      </c>
      <c r="R264" s="10" t="str">
        <f t="shared" si="9"/>
        <v>Dormant</v>
      </c>
    </row>
    <row r="265" spans="1:18" x14ac:dyDescent="0.55000000000000004">
      <c r="A265" s="10" t="s">
        <v>305</v>
      </c>
      <c r="B265" s="10" t="s">
        <v>30</v>
      </c>
      <c r="C265" s="10" t="s">
        <v>31</v>
      </c>
      <c r="D265" s="10" t="s">
        <v>44</v>
      </c>
      <c r="E265" s="10">
        <v>0</v>
      </c>
      <c r="F265" s="10">
        <v>96</v>
      </c>
      <c r="G265" s="10">
        <v>4</v>
      </c>
      <c r="H265" s="10">
        <v>7</v>
      </c>
      <c r="I265" s="11">
        <v>3.2</v>
      </c>
      <c r="J265" s="12">
        <v>0.56200000000000006</v>
      </c>
      <c r="K265" s="11">
        <v>2.62</v>
      </c>
      <c r="L265" s="10">
        <v>-42</v>
      </c>
      <c r="M265" s="10">
        <v>91</v>
      </c>
      <c r="N265" s="10">
        <f>IF(G265&lt;=Cutoffs!$B$4,4,IF(G265&lt;=Cutoffs!$C$4,3,IF(G265&lt;=Cutoffs!$D$4,2,1)))</f>
        <v>3</v>
      </c>
      <c r="O265" s="10">
        <f>IF(F265&gt;=Cutoffs!$D$5,4,IF(F265&gt;=Cutoffs!$C$5,3,IF(F265&gt;=Cutoffs!$B$5,2,1)))</f>
        <v>3</v>
      </c>
      <c r="P265" s="10">
        <f>IF(H265&gt;=Cutoffs!$D$6,4,IF(H265&gt;=Cutoffs!$C$6,3,IF(H265&gt;=Cutoffs!$B$6,2,1)))</f>
        <v>1</v>
      </c>
      <c r="Q265" s="10">
        <f t="shared" si="8"/>
        <v>7</v>
      </c>
      <c r="R265" s="10" t="str">
        <f t="shared" si="9"/>
        <v>Champions</v>
      </c>
    </row>
    <row r="266" spans="1:18" x14ac:dyDescent="0.55000000000000004">
      <c r="A266" s="10" t="s">
        <v>306</v>
      </c>
      <c r="B266" s="10" t="s">
        <v>34</v>
      </c>
      <c r="C266" s="10" t="s">
        <v>35</v>
      </c>
      <c r="D266" s="10" t="s">
        <v>36</v>
      </c>
      <c r="E266" s="10">
        <v>0</v>
      </c>
      <c r="F266" s="10">
        <v>103</v>
      </c>
      <c r="G266" s="10">
        <v>5</v>
      </c>
      <c r="H266" s="10">
        <v>49</v>
      </c>
      <c r="I266" s="11">
        <v>3.22</v>
      </c>
      <c r="J266" s="12">
        <v>0.54400000000000004</v>
      </c>
      <c r="K266" s="11">
        <v>2.83</v>
      </c>
      <c r="L266" s="10">
        <v>17</v>
      </c>
      <c r="M266" s="10">
        <v>466</v>
      </c>
      <c r="N266" s="10">
        <f>IF(G266&lt;=Cutoffs!$B$4,4,IF(G266&lt;=Cutoffs!$C$4,3,IF(G266&lt;=Cutoffs!$D$4,2,1)))</f>
        <v>3</v>
      </c>
      <c r="O266" s="10">
        <f>IF(F266&gt;=Cutoffs!$D$5,4,IF(F266&gt;=Cutoffs!$C$5,3,IF(F266&gt;=Cutoffs!$B$5,2,1)))</f>
        <v>3</v>
      </c>
      <c r="P266" s="10">
        <f>IF(H266&gt;=Cutoffs!$D$6,4,IF(H266&gt;=Cutoffs!$C$6,3,IF(H266&gt;=Cutoffs!$B$6,2,1)))</f>
        <v>4</v>
      </c>
      <c r="Q266" s="10">
        <f t="shared" si="8"/>
        <v>10</v>
      </c>
      <c r="R266" s="10" t="str">
        <f t="shared" si="9"/>
        <v>Champions</v>
      </c>
    </row>
    <row r="267" spans="1:18" x14ac:dyDescent="0.55000000000000004">
      <c r="A267" s="10" t="s">
        <v>307</v>
      </c>
      <c r="B267" s="10" t="s">
        <v>30</v>
      </c>
      <c r="C267" s="10" t="s">
        <v>31</v>
      </c>
      <c r="D267" s="10" t="s">
        <v>32</v>
      </c>
      <c r="E267" s="10">
        <v>1</v>
      </c>
      <c r="F267" s="10">
        <v>64</v>
      </c>
      <c r="G267" s="10">
        <v>15</v>
      </c>
      <c r="H267" s="10">
        <v>10</v>
      </c>
      <c r="I267" s="11">
        <v>2.46</v>
      </c>
      <c r="J267" s="12">
        <v>0.53100000000000003</v>
      </c>
      <c r="K267" s="11">
        <v>6.29</v>
      </c>
      <c r="L267" s="10">
        <v>38</v>
      </c>
      <c r="M267" s="10">
        <v>71</v>
      </c>
      <c r="N267" s="10">
        <f>IF(G267&lt;=Cutoffs!$B$4,4,IF(G267&lt;=Cutoffs!$C$4,3,IF(G267&lt;=Cutoffs!$D$4,2,1)))</f>
        <v>2</v>
      </c>
      <c r="O267" s="10">
        <f>IF(F267&gt;=Cutoffs!$D$5,4,IF(F267&gt;=Cutoffs!$C$5,3,IF(F267&gt;=Cutoffs!$B$5,2,1)))</f>
        <v>2</v>
      </c>
      <c r="P267" s="10">
        <f>IF(H267&gt;=Cutoffs!$D$6,4,IF(H267&gt;=Cutoffs!$C$6,3,IF(H267&gt;=Cutoffs!$B$6,2,1)))</f>
        <v>1</v>
      </c>
      <c r="Q267" s="10">
        <f t="shared" si="8"/>
        <v>5</v>
      </c>
      <c r="R267" s="10" t="str">
        <f t="shared" si="9"/>
        <v>Cooling</v>
      </c>
    </row>
    <row r="268" spans="1:18" x14ac:dyDescent="0.55000000000000004">
      <c r="A268" s="10" t="s">
        <v>308</v>
      </c>
      <c r="B268" s="10" t="s">
        <v>30</v>
      </c>
      <c r="C268" s="10" t="s">
        <v>31</v>
      </c>
      <c r="D268" s="10" t="s">
        <v>44</v>
      </c>
      <c r="E268" s="10">
        <v>1</v>
      </c>
      <c r="F268" s="10">
        <v>90</v>
      </c>
      <c r="G268" s="10">
        <v>36</v>
      </c>
      <c r="H268" s="10">
        <v>18</v>
      </c>
      <c r="I268" s="11">
        <v>3</v>
      </c>
      <c r="J268" s="12">
        <v>0.45600000000000002</v>
      </c>
      <c r="K268" s="11">
        <v>3.28</v>
      </c>
      <c r="L268" s="10">
        <v>-30</v>
      </c>
      <c r="M268" s="10">
        <v>337</v>
      </c>
      <c r="N268" s="10">
        <f>IF(G268&lt;=Cutoffs!$B$4,4,IF(G268&lt;=Cutoffs!$C$4,3,IF(G268&lt;=Cutoffs!$D$4,2,1)))</f>
        <v>1</v>
      </c>
      <c r="O268" s="10">
        <f>IF(F268&gt;=Cutoffs!$D$5,4,IF(F268&gt;=Cutoffs!$C$5,3,IF(F268&gt;=Cutoffs!$B$5,2,1)))</f>
        <v>2</v>
      </c>
      <c r="P268" s="10">
        <f>IF(H268&gt;=Cutoffs!$D$6,4,IF(H268&gt;=Cutoffs!$C$6,3,IF(H268&gt;=Cutoffs!$B$6,2,1)))</f>
        <v>2</v>
      </c>
      <c r="Q268" s="10">
        <f t="shared" si="8"/>
        <v>5</v>
      </c>
      <c r="R268" s="10" t="str">
        <f t="shared" si="9"/>
        <v>Dormant</v>
      </c>
    </row>
    <row r="269" spans="1:18" x14ac:dyDescent="0.55000000000000004">
      <c r="A269" s="10" t="s">
        <v>309</v>
      </c>
      <c r="B269" s="10" t="s">
        <v>34</v>
      </c>
      <c r="C269" s="10" t="s">
        <v>35</v>
      </c>
      <c r="D269" s="10" t="s">
        <v>41</v>
      </c>
      <c r="E269" s="10">
        <v>0</v>
      </c>
      <c r="F269" s="10">
        <v>34</v>
      </c>
      <c r="G269" s="10">
        <v>3</v>
      </c>
      <c r="H269" s="10">
        <v>7</v>
      </c>
      <c r="I269" s="11">
        <v>5.67</v>
      </c>
      <c r="J269" s="12">
        <v>0.61799999999999999</v>
      </c>
      <c r="K269" s="11">
        <v>6.68</v>
      </c>
      <c r="L269" s="10">
        <v>34</v>
      </c>
      <c r="M269" s="10">
        <v>44</v>
      </c>
      <c r="N269" s="10">
        <f>IF(G269&lt;=Cutoffs!$B$4,4,IF(G269&lt;=Cutoffs!$C$4,3,IF(G269&lt;=Cutoffs!$D$4,2,1)))</f>
        <v>3</v>
      </c>
      <c r="O269" s="10">
        <f>IF(F269&gt;=Cutoffs!$D$5,4,IF(F269&gt;=Cutoffs!$C$5,3,IF(F269&gt;=Cutoffs!$B$5,2,1)))</f>
        <v>1</v>
      </c>
      <c r="P269" s="10">
        <f>IF(H269&gt;=Cutoffs!$D$6,4,IF(H269&gt;=Cutoffs!$C$6,3,IF(H269&gt;=Cutoffs!$B$6,2,1)))</f>
        <v>1</v>
      </c>
      <c r="Q269" s="10">
        <f t="shared" si="8"/>
        <v>5</v>
      </c>
      <c r="R269" s="10" t="str">
        <f t="shared" si="9"/>
        <v>Promising</v>
      </c>
    </row>
    <row r="270" spans="1:18" x14ac:dyDescent="0.55000000000000004">
      <c r="A270" s="10" t="s">
        <v>310</v>
      </c>
      <c r="B270" s="10" t="s">
        <v>47</v>
      </c>
      <c r="C270" s="10" t="s">
        <v>35</v>
      </c>
      <c r="D270" s="10" t="s">
        <v>44</v>
      </c>
      <c r="E270" s="10">
        <v>0</v>
      </c>
      <c r="F270" s="10">
        <v>98</v>
      </c>
      <c r="G270" s="10">
        <v>1</v>
      </c>
      <c r="H270" s="10">
        <v>20</v>
      </c>
      <c r="I270" s="11">
        <v>2.4500000000000002</v>
      </c>
      <c r="J270" s="12">
        <v>0.55100000000000005</v>
      </c>
      <c r="K270" s="11">
        <v>2.0299999999999998</v>
      </c>
      <c r="L270" s="10">
        <v>20</v>
      </c>
      <c r="M270" s="10">
        <v>1006</v>
      </c>
      <c r="N270" s="10">
        <f>IF(G270&lt;=Cutoffs!$B$4,4,IF(G270&lt;=Cutoffs!$C$4,3,IF(G270&lt;=Cutoffs!$D$4,2,1)))</f>
        <v>4</v>
      </c>
      <c r="O270" s="10">
        <f>IF(F270&gt;=Cutoffs!$D$5,4,IF(F270&gt;=Cutoffs!$C$5,3,IF(F270&gt;=Cutoffs!$B$5,2,1)))</f>
        <v>3</v>
      </c>
      <c r="P270" s="10">
        <f>IF(H270&gt;=Cutoffs!$D$6,4,IF(H270&gt;=Cutoffs!$C$6,3,IF(H270&gt;=Cutoffs!$B$6,2,1)))</f>
        <v>3</v>
      </c>
      <c r="Q270" s="10">
        <f t="shared" si="8"/>
        <v>10</v>
      </c>
      <c r="R270" s="10" t="str">
        <f t="shared" si="9"/>
        <v>Champions</v>
      </c>
    </row>
    <row r="271" spans="1:18" x14ac:dyDescent="0.55000000000000004">
      <c r="A271" s="10" t="s">
        <v>311</v>
      </c>
      <c r="B271" s="10" t="s">
        <v>58</v>
      </c>
      <c r="C271" s="10" t="s">
        <v>31</v>
      </c>
      <c r="D271" s="10" t="s">
        <v>32</v>
      </c>
      <c r="E271" s="10">
        <v>0</v>
      </c>
      <c r="F271" s="10">
        <v>150</v>
      </c>
      <c r="G271" s="10">
        <v>4</v>
      </c>
      <c r="H271" s="10">
        <v>14</v>
      </c>
      <c r="I271" s="11">
        <v>6</v>
      </c>
      <c r="J271" s="12">
        <v>0.44700000000000001</v>
      </c>
      <c r="K271" s="11">
        <v>2.86</v>
      </c>
      <c r="L271" s="10">
        <v>150</v>
      </c>
      <c r="M271" s="10">
        <v>106</v>
      </c>
      <c r="N271" s="10">
        <f>IF(G271&lt;=Cutoffs!$B$4,4,IF(G271&lt;=Cutoffs!$C$4,3,IF(G271&lt;=Cutoffs!$D$4,2,1)))</f>
        <v>3</v>
      </c>
      <c r="O271" s="10">
        <f>IF(F271&gt;=Cutoffs!$D$5,4,IF(F271&gt;=Cutoffs!$C$5,3,IF(F271&gt;=Cutoffs!$B$5,2,1)))</f>
        <v>3</v>
      </c>
      <c r="P271" s="10">
        <f>IF(H271&gt;=Cutoffs!$D$6,4,IF(H271&gt;=Cutoffs!$C$6,3,IF(H271&gt;=Cutoffs!$B$6,2,1)))</f>
        <v>2</v>
      </c>
      <c r="Q271" s="10">
        <f t="shared" si="8"/>
        <v>8</v>
      </c>
      <c r="R271" s="10" t="str">
        <f t="shared" si="9"/>
        <v>Champions</v>
      </c>
    </row>
    <row r="272" spans="1:18" x14ac:dyDescent="0.55000000000000004">
      <c r="A272" s="10" t="s">
        <v>312</v>
      </c>
      <c r="B272" s="10" t="s">
        <v>47</v>
      </c>
      <c r="C272" s="10" t="s">
        <v>35</v>
      </c>
      <c r="D272" s="10" t="s">
        <v>44</v>
      </c>
      <c r="E272" s="10">
        <v>0</v>
      </c>
      <c r="F272" s="10">
        <v>200</v>
      </c>
      <c r="G272" s="10">
        <v>29</v>
      </c>
      <c r="H272" s="10">
        <v>13</v>
      </c>
      <c r="I272" s="11">
        <v>10.53</v>
      </c>
      <c r="J272" s="12">
        <v>0.47499999999999998</v>
      </c>
      <c r="K272" s="11">
        <v>2.71</v>
      </c>
      <c r="L272" s="10">
        <v>142</v>
      </c>
      <c r="M272" s="10">
        <v>212</v>
      </c>
      <c r="N272" s="10">
        <f>IF(G272&lt;=Cutoffs!$B$4,4,IF(G272&lt;=Cutoffs!$C$4,3,IF(G272&lt;=Cutoffs!$D$4,2,1)))</f>
        <v>1</v>
      </c>
      <c r="O272" s="10">
        <f>IF(F272&gt;=Cutoffs!$D$5,4,IF(F272&gt;=Cutoffs!$C$5,3,IF(F272&gt;=Cutoffs!$B$5,2,1)))</f>
        <v>4</v>
      </c>
      <c r="P272" s="10">
        <f>IF(H272&gt;=Cutoffs!$D$6,4,IF(H272&gt;=Cutoffs!$C$6,3,IF(H272&gt;=Cutoffs!$B$6,2,1)))</f>
        <v>2</v>
      </c>
      <c r="Q272" s="10">
        <f t="shared" si="8"/>
        <v>7</v>
      </c>
      <c r="R272" s="10" t="str">
        <f t="shared" si="9"/>
        <v>At risk</v>
      </c>
    </row>
    <row r="273" spans="1:18" x14ac:dyDescent="0.55000000000000004">
      <c r="A273" s="10" t="s">
        <v>313</v>
      </c>
      <c r="B273" s="10" t="s">
        <v>34</v>
      </c>
      <c r="C273" s="10" t="s">
        <v>35</v>
      </c>
      <c r="D273" s="10" t="s">
        <v>44</v>
      </c>
      <c r="E273" s="10">
        <v>0</v>
      </c>
      <c r="F273" s="10">
        <v>48</v>
      </c>
      <c r="G273" s="10">
        <v>25</v>
      </c>
      <c r="H273" s="10">
        <v>23</v>
      </c>
      <c r="I273" s="11">
        <v>2.4</v>
      </c>
      <c r="J273" s="12">
        <v>0.438</v>
      </c>
      <c r="K273" s="11">
        <v>2.73</v>
      </c>
      <c r="L273" s="10">
        <v>4</v>
      </c>
      <c r="M273" s="10">
        <v>863</v>
      </c>
      <c r="N273" s="10">
        <f>IF(G273&lt;=Cutoffs!$B$4,4,IF(G273&lt;=Cutoffs!$C$4,3,IF(G273&lt;=Cutoffs!$D$4,2,1)))</f>
        <v>1</v>
      </c>
      <c r="O273" s="10">
        <f>IF(F273&gt;=Cutoffs!$D$5,4,IF(F273&gt;=Cutoffs!$C$5,3,IF(F273&gt;=Cutoffs!$B$5,2,1)))</f>
        <v>1</v>
      </c>
      <c r="P273" s="10">
        <f>IF(H273&gt;=Cutoffs!$D$6,4,IF(H273&gt;=Cutoffs!$C$6,3,IF(H273&gt;=Cutoffs!$B$6,2,1)))</f>
        <v>3</v>
      </c>
      <c r="Q273" s="10">
        <f t="shared" si="8"/>
        <v>5</v>
      </c>
      <c r="R273" s="10" t="str">
        <f t="shared" si="9"/>
        <v>Dormant</v>
      </c>
    </row>
    <row r="274" spans="1:18" x14ac:dyDescent="0.55000000000000004">
      <c r="A274" s="10" t="s">
        <v>314</v>
      </c>
      <c r="B274" s="10" t="s">
        <v>43</v>
      </c>
      <c r="C274" s="10" t="s">
        <v>31</v>
      </c>
      <c r="D274" s="10" t="s">
        <v>44</v>
      </c>
      <c r="E274" s="10">
        <v>0</v>
      </c>
      <c r="F274" s="10">
        <v>72</v>
      </c>
      <c r="G274" s="10">
        <v>1</v>
      </c>
      <c r="H274" s="10">
        <v>27</v>
      </c>
      <c r="I274" s="11">
        <v>2.25</v>
      </c>
      <c r="J274" s="12">
        <v>0.54200000000000004</v>
      </c>
      <c r="K274" s="11">
        <v>2.1800000000000002</v>
      </c>
      <c r="L274" s="10">
        <v>38</v>
      </c>
      <c r="M274" s="10">
        <v>218</v>
      </c>
      <c r="N274" s="10">
        <f>IF(G274&lt;=Cutoffs!$B$4,4,IF(G274&lt;=Cutoffs!$C$4,3,IF(G274&lt;=Cutoffs!$D$4,2,1)))</f>
        <v>4</v>
      </c>
      <c r="O274" s="10">
        <f>IF(F274&gt;=Cutoffs!$D$5,4,IF(F274&gt;=Cutoffs!$C$5,3,IF(F274&gt;=Cutoffs!$B$5,2,1)))</f>
        <v>2</v>
      </c>
      <c r="P274" s="10">
        <f>IF(H274&gt;=Cutoffs!$D$6,4,IF(H274&gt;=Cutoffs!$C$6,3,IF(H274&gt;=Cutoffs!$B$6,2,1)))</f>
        <v>3</v>
      </c>
      <c r="Q274" s="10">
        <f t="shared" si="8"/>
        <v>9</v>
      </c>
      <c r="R274" s="10" t="str">
        <f t="shared" si="9"/>
        <v>Promising</v>
      </c>
    </row>
    <row r="275" spans="1:18" x14ac:dyDescent="0.55000000000000004">
      <c r="A275" s="10" t="s">
        <v>315</v>
      </c>
      <c r="B275" s="10" t="s">
        <v>47</v>
      </c>
      <c r="C275" s="10" t="s">
        <v>35</v>
      </c>
      <c r="D275" s="10" t="s">
        <v>39</v>
      </c>
      <c r="E275" s="10">
        <v>0</v>
      </c>
      <c r="F275" s="10">
        <v>69</v>
      </c>
      <c r="G275" s="10">
        <v>32</v>
      </c>
      <c r="H275" s="10">
        <v>22</v>
      </c>
      <c r="I275" s="11">
        <v>3.29</v>
      </c>
      <c r="J275" s="12">
        <v>0.50700000000000001</v>
      </c>
      <c r="K275" s="11">
        <v>3.5</v>
      </c>
      <c r="L275" s="10">
        <v>-49</v>
      </c>
      <c r="M275" s="10">
        <v>124</v>
      </c>
      <c r="N275" s="10">
        <f>IF(G275&lt;=Cutoffs!$B$4,4,IF(G275&lt;=Cutoffs!$C$4,3,IF(G275&lt;=Cutoffs!$D$4,2,1)))</f>
        <v>1</v>
      </c>
      <c r="O275" s="10">
        <f>IF(F275&gt;=Cutoffs!$D$5,4,IF(F275&gt;=Cutoffs!$C$5,3,IF(F275&gt;=Cutoffs!$B$5,2,1)))</f>
        <v>2</v>
      </c>
      <c r="P275" s="10">
        <f>IF(H275&gt;=Cutoffs!$D$6,4,IF(H275&gt;=Cutoffs!$C$6,3,IF(H275&gt;=Cutoffs!$B$6,2,1)))</f>
        <v>3</v>
      </c>
      <c r="Q275" s="10">
        <f t="shared" si="8"/>
        <v>6</v>
      </c>
      <c r="R275" s="10" t="str">
        <f t="shared" si="9"/>
        <v>Dormant</v>
      </c>
    </row>
    <row r="276" spans="1:18" x14ac:dyDescent="0.55000000000000004">
      <c r="A276" s="10" t="s">
        <v>316</v>
      </c>
      <c r="B276" s="10" t="s">
        <v>30</v>
      </c>
      <c r="C276" s="10" t="s">
        <v>31</v>
      </c>
      <c r="D276" s="10" t="s">
        <v>41</v>
      </c>
      <c r="E276" s="10">
        <v>0</v>
      </c>
      <c r="F276" s="10">
        <v>142</v>
      </c>
      <c r="G276" s="10">
        <v>1</v>
      </c>
      <c r="H276" s="10">
        <v>15</v>
      </c>
      <c r="I276" s="11">
        <v>6.17</v>
      </c>
      <c r="J276" s="12">
        <v>0.44400000000000001</v>
      </c>
      <c r="K276" s="11">
        <v>4.1100000000000003</v>
      </c>
      <c r="L276" s="10">
        <v>-34</v>
      </c>
      <c r="M276" s="10">
        <v>314</v>
      </c>
      <c r="N276" s="10">
        <f>IF(G276&lt;=Cutoffs!$B$4,4,IF(G276&lt;=Cutoffs!$C$4,3,IF(G276&lt;=Cutoffs!$D$4,2,1)))</f>
        <v>4</v>
      </c>
      <c r="O276" s="10">
        <f>IF(F276&gt;=Cutoffs!$D$5,4,IF(F276&gt;=Cutoffs!$C$5,3,IF(F276&gt;=Cutoffs!$B$5,2,1)))</f>
        <v>3</v>
      </c>
      <c r="P276" s="10">
        <f>IF(H276&gt;=Cutoffs!$D$6,4,IF(H276&gt;=Cutoffs!$C$6,3,IF(H276&gt;=Cutoffs!$B$6,2,1)))</f>
        <v>2</v>
      </c>
      <c r="Q276" s="10">
        <f t="shared" si="8"/>
        <v>9</v>
      </c>
      <c r="R276" s="10" t="str">
        <f t="shared" si="9"/>
        <v>Champions</v>
      </c>
    </row>
    <row r="277" spans="1:18" x14ac:dyDescent="0.55000000000000004">
      <c r="A277" s="10" t="s">
        <v>317</v>
      </c>
      <c r="B277" s="10" t="s">
        <v>47</v>
      </c>
      <c r="C277" s="10" t="s">
        <v>35</v>
      </c>
      <c r="D277" s="10" t="s">
        <v>41</v>
      </c>
      <c r="E277" s="10">
        <v>0</v>
      </c>
      <c r="F277" s="10">
        <v>198</v>
      </c>
      <c r="G277" s="10">
        <v>10</v>
      </c>
      <c r="H277" s="10">
        <v>24</v>
      </c>
      <c r="I277" s="11">
        <v>4.21</v>
      </c>
      <c r="J277" s="12">
        <v>0.48499999999999999</v>
      </c>
      <c r="K277" s="11">
        <v>3.5</v>
      </c>
      <c r="L277" s="10">
        <v>52</v>
      </c>
      <c r="M277" s="10">
        <v>508</v>
      </c>
      <c r="N277" s="10">
        <f>IF(G277&lt;=Cutoffs!$B$4,4,IF(G277&lt;=Cutoffs!$C$4,3,IF(G277&lt;=Cutoffs!$D$4,2,1)))</f>
        <v>2</v>
      </c>
      <c r="O277" s="10">
        <f>IF(F277&gt;=Cutoffs!$D$5,4,IF(F277&gt;=Cutoffs!$C$5,3,IF(F277&gt;=Cutoffs!$B$5,2,1)))</f>
        <v>4</v>
      </c>
      <c r="P277" s="10">
        <f>IF(H277&gt;=Cutoffs!$D$6,4,IF(H277&gt;=Cutoffs!$C$6,3,IF(H277&gt;=Cutoffs!$B$6,2,1)))</f>
        <v>3</v>
      </c>
      <c r="Q277" s="10">
        <f t="shared" si="8"/>
        <v>9</v>
      </c>
      <c r="R277" s="10" t="str">
        <f t="shared" si="9"/>
        <v>At risk</v>
      </c>
    </row>
    <row r="278" spans="1:18" x14ac:dyDescent="0.55000000000000004">
      <c r="A278" s="10" t="s">
        <v>318</v>
      </c>
      <c r="B278" s="10" t="s">
        <v>47</v>
      </c>
      <c r="C278" s="10" t="s">
        <v>35</v>
      </c>
      <c r="D278" s="10" t="s">
        <v>32</v>
      </c>
      <c r="E278" s="10">
        <v>1</v>
      </c>
      <c r="F278" s="10">
        <v>59</v>
      </c>
      <c r="G278" s="10">
        <v>37</v>
      </c>
      <c r="H278" s="10">
        <v>15</v>
      </c>
      <c r="I278" s="11">
        <v>3.47</v>
      </c>
      <c r="J278" s="12">
        <v>0.61</v>
      </c>
      <c r="K278" s="11">
        <v>6.18</v>
      </c>
      <c r="L278" s="10">
        <v>-49</v>
      </c>
      <c r="M278" s="10">
        <v>118</v>
      </c>
      <c r="N278" s="10">
        <f>IF(G278&lt;=Cutoffs!$B$4,4,IF(G278&lt;=Cutoffs!$C$4,3,IF(G278&lt;=Cutoffs!$D$4,2,1)))</f>
        <v>1</v>
      </c>
      <c r="O278" s="10">
        <f>IF(F278&gt;=Cutoffs!$D$5,4,IF(F278&gt;=Cutoffs!$C$5,3,IF(F278&gt;=Cutoffs!$B$5,2,1)))</f>
        <v>2</v>
      </c>
      <c r="P278" s="10">
        <f>IF(H278&gt;=Cutoffs!$D$6,4,IF(H278&gt;=Cutoffs!$C$6,3,IF(H278&gt;=Cutoffs!$B$6,2,1)))</f>
        <v>2</v>
      </c>
      <c r="Q278" s="10">
        <f t="shared" si="8"/>
        <v>5</v>
      </c>
      <c r="R278" s="10" t="str">
        <f t="shared" si="9"/>
        <v>Dormant</v>
      </c>
    </row>
    <row r="279" spans="1:18" x14ac:dyDescent="0.55000000000000004">
      <c r="A279" s="10" t="s">
        <v>319</v>
      </c>
      <c r="B279" s="10" t="s">
        <v>58</v>
      </c>
      <c r="C279" s="10" t="s">
        <v>31</v>
      </c>
      <c r="D279" s="10" t="s">
        <v>41</v>
      </c>
      <c r="E279" s="10">
        <v>0</v>
      </c>
      <c r="F279" s="10">
        <v>125</v>
      </c>
      <c r="G279" s="10">
        <v>8</v>
      </c>
      <c r="H279" s="10">
        <v>20</v>
      </c>
      <c r="I279" s="11">
        <v>5</v>
      </c>
      <c r="J279" s="12">
        <v>0.47199999999999998</v>
      </c>
      <c r="K279" s="11">
        <v>4.75</v>
      </c>
      <c r="L279" s="10">
        <v>-5</v>
      </c>
      <c r="M279" s="10">
        <v>203</v>
      </c>
      <c r="N279" s="10">
        <f>IF(G279&lt;=Cutoffs!$B$4,4,IF(G279&lt;=Cutoffs!$C$4,3,IF(G279&lt;=Cutoffs!$D$4,2,1)))</f>
        <v>2</v>
      </c>
      <c r="O279" s="10">
        <f>IF(F279&gt;=Cutoffs!$D$5,4,IF(F279&gt;=Cutoffs!$C$5,3,IF(F279&gt;=Cutoffs!$B$5,2,1)))</f>
        <v>3</v>
      </c>
      <c r="P279" s="10">
        <f>IF(H279&gt;=Cutoffs!$D$6,4,IF(H279&gt;=Cutoffs!$C$6,3,IF(H279&gt;=Cutoffs!$B$6,2,1)))</f>
        <v>3</v>
      </c>
      <c r="Q279" s="10">
        <f t="shared" si="8"/>
        <v>8</v>
      </c>
      <c r="R279" s="10" t="str">
        <f t="shared" si="9"/>
        <v>At risk</v>
      </c>
    </row>
    <row r="280" spans="1:18" x14ac:dyDescent="0.55000000000000004">
      <c r="A280" s="10" t="s">
        <v>320</v>
      </c>
      <c r="B280" s="10" t="s">
        <v>38</v>
      </c>
      <c r="C280" s="10" t="s">
        <v>35</v>
      </c>
      <c r="D280" s="10" t="s">
        <v>44</v>
      </c>
      <c r="E280" s="10">
        <v>0</v>
      </c>
      <c r="F280" s="10">
        <v>33</v>
      </c>
      <c r="G280" s="10">
        <v>3</v>
      </c>
      <c r="H280" s="10">
        <v>16</v>
      </c>
      <c r="I280" s="11">
        <v>1.43</v>
      </c>
      <c r="J280" s="12">
        <v>0.54500000000000004</v>
      </c>
      <c r="K280" s="11">
        <v>2.86</v>
      </c>
      <c r="L280" s="10">
        <v>-11</v>
      </c>
      <c r="M280" s="10">
        <v>663</v>
      </c>
      <c r="N280" s="10">
        <f>IF(G280&lt;=Cutoffs!$B$4,4,IF(G280&lt;=Cutoffs!$C$4,3,IF(G280&lt;=Cutoffs!$D$4,2,1)))</f>
        <v>3</v>
      </c>
      <c r="O280" s="10">
        <f>IF(F280&gt;=Cutoffs!$D$5,4,IF(F280&gt;=Cutoffs!$C$5,3,IF(F280&gt;=Cutoffs!$B$5,2,1)))</f>
        <v>1</v>
      </c>
      <c r="P280" s="10">
        <f>IF(H280&gt;=Cutoffs!$D$6,4,IF(H280&gt;=Cutoffs!$C$6,3,IF(H280&gt;=Cutoffs!$B$6,2,1)))</f>
        <v>2</v>
      </c>
      <c r="Q280" s="10">
        <f t="shared" si="8"/>
        <v>6</v>
      </c>
      <c r="R280" s="10" t="str">
        <f t="shared" si="9"/>
        <v>Promising</v>
      </c>
    </row>
    <row r="281" spans="1:18" x14ac:dyDescent="0.55000000000000004">
      <c r="A281" s="10" t="s">
        <v>321</v>
      </c>
      <c r="B281" s="10" t="s">
        <v>34</v>
      </c>
      <c r="C281" s="10" t="s">
        <v>35</v>
      </c>
      <c r="D281" s="10" t="s">
        <v>39</v>
      </c>
      <c r="E281" s="10">
        <v>0</v>
      </c>
      <c r="F281" s="10">
        <v>110</v>
      </c>
      <c r="G281" s="10">
        <v>10</v>
      </c>
      <c r="H281" s="10">
        <v>16</v>
      </c>
      <c r="I281" s="11">
        <v>1.86</v>
      </c>
      <c r="J281" s="12">
        <v>0.51800000000000002</v>
      </c>
      <c r="K281" s="11">
        <v>2.87</v>
      </c>
      <c r="L281" s="10">
        <v>-32</v>
      </c>
      <c r="M281" s="10">
        <v>692</v>
      </c>
      <c r="N281" s="10">
        <f>IF(G281&lt;=Cutoffs!$B$4,4,IF(G281&lt;=Cutoffs!$C$4,3,IF(G281&lt;=Cutoffs!$D$4,2,1)))</f>
        <v>2</v>
      </c>
      <c r="O281" s="10">
        <f>IF(F281&gt;=Cutoffs!$D$5,4,IF(F281&gt;=Cutoffs!$C$5,3,IF(F281&gt;=Cutoffs!$B$5,2,1)))</f>
        <v>3</v>
      </c>
      <c r="P281" s="10">
        <f>IF(H281&gt;=Cutoffs!$D$6,4,IF(H281&gt;=Cutoffs!$C$6,3,IF(H281&gt;=Cutoffs!$B$6,2,1)))</f>
        <v>2</v>
      </c>
      <c r="Q281" s="10">
        <f t="shared" si="8"/>
        <v>7</v>
      </c>
      <c r="R281" s="10" t="str">
        <f t="shared" si="9"/>
        <v>At risk</v>
      </c>
    </row>
    <row r="282" spans="1:18" x14ac:dyDescent="0.55000000000000004">
      <c r="A282" s="10" t="s">
        <v>322</v>
      </c>
      <c r="B282" s="10" t="s">
        <v>47</v>
      </c>
      <c r="C282" s="10" t="s">
        <v>35</v>
      </c>
      <c r="D282" s="10" t="s">
        <v>32</v>
      </c>
      <c r="E282" s="10">
        <v>0</v>
      </c>
      <c r="F282" s="10">
        <v>199</v>
      </c>
      <c r="G282" s="10">
        <v>3</v>
      </c>
      <c r="H282" s="10">
        <v>50</v>
      </c>
      <c r="I282" s="11">
        <v>4.5199999999999996</v>
      </c>
      <c r="J282" s="12">
        <v>0.48199999999999998</v>
      </c>
      <c r="K282" s="11">
        <v>2.81</v>
      </c>
      <c r="L282" s="10">
        <v>197</v>
      </c>
      <c r="M282" s="10">
        <v>1010</v>
      </c>
      <c r="N282" s="10">
        <f>IF(G282&lt;=Cutoffs!$B$4,4,IF(G282&lt;=Cutoffs!$C$4,3,IF(G282&lt;=Cutoffs!$D$4,2,1)))</f>
        <v>3</v>
      </c>
      <c r="O282" s="10">
        <f>IF(F282&gt;=Cutoffs!$D$5,4,IF(F282&gt;=Cutoffs!$C$5,3,IF(F282&gt;=Cutoffs!$B$5,2,1)))</f>
        <v>4</v>
      </c>
      <c r="P282" s="10">
        <f>IF(H282&gt;=Cutoffs!$D$6,4,IF(H282&gt;=Cutoffs!$C$6,3,IF(H282&gt;=Cutoffs!$B$6,2,1)))</f>
        <v>4</v>
      </c>
      <c r="Q282" s="10">
        <f t="shared" si="8"/>
        <v>11</v>
      </c>
      <c r="R282" s="10" t="str">
        <f t="shared" si="9"/>
        <v>Champions</v>
      </c>
    </row>
    <row r="283" spans="1:18" x14ac:dyDescent="0.55000000000000004">
      <c r="A283" s="10" t="s">
        <v>323</v>
      </c>
      <c r="B283" s="10" t="s">
        <v>47</v>
      </c>
      <c r="C283" s="10" t="s">
        <v>35</v>
      </c>
      <c r="D283" s="10" t="s">
        <v>39</v>
      </c>
      <c r="E283" s="10">
        <v>1</v>
      </c>
      <c r="F283" s="10">
        <v>150</v>
      </c>
      <c r="G283" s="10">
        <v>10</v>
      </c>
      <c r="H283" s="10">
        <v>22</v>
      </c>
      <c r="I283" s="11">
        <v>3.66</v>
      </c>
      <c r="J283" s="12">
        <v>0.55300000000000005</v>
      </c>
      <c r="K283" s="11">
        <v>4.63</v>
      </c>
      <c r="L283" s="10">
        <v>16</v>
      </c>
      <c r="M283" s="10">
        <v>533</v>
      </c>
      <c r="N283" s="10">
        <f>IF(G283&lt;=Cutoffs!$B$4,4,IF(G283&lt;=Cutoffs!$C$4,3,IF(G283&lt;=Cutoffs!$D$4,2,1)))</f>
        <v>2</v>
      </c>
      <c r="O283" s="10">
        <f>IF(F283&gt;=Cutoffs!$D$5,4,IF(F283&gt;=Cutoffs!$C$5,3,IF(F283&gt;=Cutoffs!$B$5,2,1)))</f>
        <v>3</v>
      </c>
      <c r="P283" s="10">
        <f>IF(H283&gt;=Cutoffs!$D$6,4,IF(H283&gt;=Cutoffs!$C$6,3,IF(H283&gt;=Cutoffs!$B$6,2,1)))</f>
        <v>3</v>
      </c>
      <c r="Q283" s="10">
        <f t="shared" si="8"/>
        <v>8</v>
      </c>
      <c r="R283" s="10" t="str">
        <f t="shared" si="9"/>
        <v>At risk</v>
      </c>
    </row>
    <row r="284" spans="1:18" x14ac:dyDescent="0.55000000000000004">
      <c r="A284" s="10" t="s">
        <v>324</v>
      </c>
      <c r="B284" s="10" t="s">
        <v>30</v>
      </c>
      <c r="C284" s="10" t="s">
        <v>31</v>
      </c>
      <c r="D284" s="10" t="s">
        <v>41</v>
      </c>
      <c r="E284" s="10">
        <v>1</v>
      </c>
      <c r="F284" s="10">
        <v>36</v>
      </c>
      <c r="G284" s="10">
        <v>5</v>
      </c>
      <c r="H284" s="10">
        <v>2</v>
      </c>
      <c r="I284" s="11">
        <v>1.89</v>
      </c>
      <c r="J284" s="12">
        <v>0.61099999999999999</v>
      </c>
      <c r="K284" s="11">
        <v>4.13</v>
      </c>
      <c r="L284" s="10">
        <v>36</v>
      </c>
      <c r="M284" s="10">
        <v>547</v>
      </c>
      <c r="N284" s="10">
        <f>IF(G284&lt;=Cutoffs!$B$4,4,IF(G284&lt;=Cutoffs!$C$4,3,IF(G284&lt;=Cutoffs!$D$4,2,1)))</f>
        <v>3</v>
      </c>
      <c r="O284" s="10">
        <f>IF(F284&gt;=Cutoffs!$D$5,4,IF(F284&gt;=Cutoffs!$C$5,3,IF(F284&gt;=Cutoffs!$B$5,2,1)))</f>
        <v>1</v>
      </c>
      <c r="P284" s="10">
        <f>IF(H284&gt;=Cutoffs!$D$6,4,IF(H284&gt;=Cutoffs!$C$6,3,IF(H284&gt;=Cutoffs!$B$6,2,1)))</f>
        <v>1</v>
      </c>
      <c r="Q284" s="10">
        <f t="shared" si="8"/>
        <v>5</v>
      </c>
      <c r="R284" s="10" t="str">
        <f t="shared" si="9"/>
        <v>Promising</v>
      </c>
    </row>
    <row r="285" spans="1:18" x14ac:dyDescent="0.55000000000000004">
      <c r="A285" s="10" t="s">
        <v>325</v>
      </c>
      <c r="B285" s="10" t="s">
        <v>34</v>
      </c>
      <c r="C285" s="10" t="s">
        <v>35</v>
      </c>
      <c r="D285" s="10" t="s">
        <v>44</v>
      </c>
      <c r="E285" s="10">
        <v>0</v>
      </c>
      <c r="F285" s="10">
        <v>105</v>
      </c>
      <c r="G285" s="10">
        <v>51</v>
      </c>
      <c r="H285" s="10">
        <v>9</v>
      </c>
      <c r="I285" s="11">
        <v>5.25</v>
      </c>
      <c r="J285" s="12">
        <v>0.64800000000000002</v>
      </c>
      <c r="K285" s="11">
        <v>3.81</v>
      </c>
      <c r="L285" s="10">
        <v>-13</v>
      </c>
      <c r="M285" s="10">
        <v>57</v>
      </c>
      <c r="N285" s="10">
        <f>IF(G285&lt;=Cutoffs!$B$4,4,IF(G285&lt;=Cutoffs!$C$4,3,IF(G285&lt;=Cutoffs!$D$4,2,1)))</f>
        <v>1</v>
      </c>
      <c r="O285" s="10">
        <f>IF(F285&gt;=Cutoffs!$D$5,4,IF(F285&gt;=Cutoffs!$C$5,3,IF(F285&gt;=Cutoffs!$B$5,2,1)))</f>
        <v>3</v>
      </c>
      <c r="P285" s="10">
        <f>IF(H285&gt;=Cutoffs!$D$6,4,IF(H285&gt;=Cutoffs!$C$6,3,IF(H285&gt;=Cutoffs!$B$6,2,1)))</f>
        <v>1</v>
      </c>
      <c r="Q285" s="10">
        <f t="shared" si="8"/>
        <v>5</v>
      </c>
      <c r="R285" s="10" t="str">
        <f t="shared" si="9"/>
        <v>At risk</v>
      </c>
    </row>
    <row r="286" spans="1:18" x14ac:dyDescent="0.55000000000000004">
      <c r="A286" s="10" t="s">
        <v>326</v>
      </c>
      <c r="B286" s="10" t="s">
        <v>47</v>
      </c>
      <c r="C286" s="10" t="s">
        <v>35</v>
      </c>
      <c r="D286" s="10" t="s">
        <v>39</v>
      </c>
      <c r="E286" s="10">
        <v>0</v>
      </c>
      <c r="F286" s="10">
        <v>36</v>
      </c>
      <c r="G286" s="10">
        <v>3</v>
      </c>
      <c r="H286" s="10">
        <v>17</v>
      </c>
      <c r="I286" s="11">
        <v>3.27</v>
      </c>
      <c r="J286" s="12">
        <v>0.58299999999999996</v>
      </c>
      <c r="K286" s="11">
        <v>3.06</v>
      </c>
      <c r="L286" s="10">
        <v>26</v>
      </c>
      <c r="M286" s="10">
        <v>73</v>
      </c>
      <c r="N286" s="10">
        <f>IF(G286&lt;=Cutoffs!$B$4,4,IF(G286&lt;=Cutoffs!$C$4,3,IF(G286&lt;=Cutoffs!$D$4,2,1)))</f>
        <v>3</v>
      </c>
      <c r="O286" s="10">
        <f>IF(F286&gt;=Cutoffs!$D$5,4,IF(F286&gt;=Cutoffs!$C$5,3,IF(F286&gt;=Cutoffs!$B$5,2,1)))</f>
        <v>1</v>
      </c>
      <c r="P286" s="10">
        <f>IF(H286&gt;=Cutoffs!$D$6,4,IF(H286&gt;=Cutoffs!$C$6,3,IF(H286&gt;=Cutoffs!$B$6,2,1)))</f>
        <v>2</v>
      </c>
      <c r="Q286" s="10">
        <f t="shared" si="8"/>
        <v>6</v>
      </c>
      <c r="R286" s="10" t="str">
        <f t="shared" si="9"/>
        <v>Promising</v>
      </c>
    </row>
    <row r="287" spans="1:18" x14ac:dyDescent="0.55000000000000004">
      <c r="A287" s="10" t="s">
        <v>327</v>
      </c>
      <c r="B287" s="10" t="s">
        <v>47</v>
      </c>
      <c r="C287" s="10" t="s">
        <v>35</v>
      </c>
      <c r="D287" s="10" t="s">
        <v>39</v>
      </c>
      <c r="E287" s="10">
        <v>0</v>
      </c>
      <c r="F287" s="10">
        <v>79</v>
      </c>
      <c r="G287" s="10">
        <v>1</v>
      </c>
      <c r="H287" s="10">
        <v>13</v>
      </c>
      <c r="I287" s="11">
        <v>3.04</v>
      </c>
      <c r="J287" s="12">
        <v>0.60799999999999998</v>
      </c>
      <c r="K287" s="11">
        <v>4.68</v>
      </c>
      <c r="L287" s="10">
        <v>77</v>
      </c>
      <c r="M287" s="10">
        <v>159</v>
      </c>
      <c r="N287" s="10">
        <f>IF(G287&lt;=Cutoffs!$B$4,4,IF(G287&lt;=Cutoffs!$C$4,3,IF(G287&lt;=Cutoffs!$D$4,2,1)))</f>
        <v>4</v>
      </c>
      <c r="O287" s="10">
        <f>IF(F287&gt;=Cutoffs!$D$5,4,IF(F287&gt;=Cutoffs!$C$5,3,IF(F287&gt;=Cutoffs!$B$5,2,1)))</f>
        <v>2</v>
      </c>
      <c r="P287" s="10">
        <f>IF(H287&gt;=Cutoffs!$D$6,4,IF(H287&gt;=Cutoffs!$C$6,3,IF(H287&gt;=Cutoffs!$B$6,2,1)))</f>
        <v>2</v>
      </c>
      <c r="Q287" s="10">
        <f t="shared" si="8"/>
        <v>8</v>
      </c>
      <c r="R287" s="10" t="str">
        <f t="shared" si="9"/>
        <v>Promising</v>
      </c>
    </row>
    <row r="288" spans="1:18" x14ac:dyDescent="0.55000000000000004">
      <c r="A288" s="10" t="s">
        <v>328</v>
      </c>
      <c r="B288" s="10" t="s">
        <v>47</v>
      </c>
      <c r="C288" s="10" t="s">
        <v>35</v>
      </c>
      <c r="D288" s="10" t="s">
        <v>44</v>
      </c>
      <c r="E288" s="10">
        <v>1</v>
      </c>
      <c r="F288" s="10">
        <v>191</v>
      </c>
      <c r="G288" s="10">
        <v>5</v>
      </c>
      <c r="H288" s="10">
        <v>48</v>
      </c>
      <c r="I288" s="11">
        <v>5.16</v>
      </c>
      <c r="J288" s="12">
        <v>0.52400000000000002</v>
      </c>
      <c r="K288" s="11">
        <v>3.29</v>
      </c>
      <c r="L288" s="10">
        <v>17</v>
      </c>
      <c r="M288" s="10">
        <v>508</v>
      </c>
      <c r="N288" s="10">
        <f>IF(G288&lt;=Cutoffs!$B$4,4,IF(G288&lt;=Cutoffs!$C$4,3,IF(G288&lt;=Cutoffs!$D$4,2,1)))</f>
        <v>3</v>
      </c>
      <c r="O288" s="10">
        <f>IF(F288&gt;=Cutoffs!$D$5,4,IF(F288&gt;=Cutoffs!$C$5,3,IF(F288&gt;=Cutoffs!$B$5,2,1)))</f>
        <v>4</v>
      </c>
      <c r="P288" s="10">
        <f>IF(H288&gt;=Cutoffs!$D$6,4,IF(H288&gt;=Cutoffs!$C$6,3,IF(H288&gt;=Cutoffs!$B$6,2,1)))</f>
        <v>4</v>
      </c>
      <c r="Q288" s="10">
        <f t="shared" si="8"/>
        <v>11</v>
      </c>
      <c r="R288" s="10" t="str">
        <f t="shared" si="9"/>
        <v>Champions</v>
      </c>
    </row>
    <row r="289" spans="1:18" x14ac:dyDescent="0.55000000000000004">
      <c r="A289" s="10" t="s">
        <v>329</v>
      </c>
      <c r="B289" s="10" t="s">
        <v>38</v>
      </c>
      <c r="C289" s="10" t="s">
        <v>35</v>
      </c>
      <c r="D289" s="10" t="s">
        <v>44</v>
      </c>
      <c r="E289" s="10">
        <v>0</v>
      </c>
      <c r="F289" s="10">
        <v>92</v>
      </c>
      <c r="G289" s="10">
        <v>23</v>
      </c>
      <c r="H289" s="10">
        <v>39</v>
      </c>
      <c r="I289" s="11">
        <v>3.07</v>
      </c>
      <c r="J289" s="12">
        <v>0.46700000000000003</v>
      </c>
      <c r="K289" s="11">
        <v>2.82</v>
      </c>
      <c r="L289" s="10">
        <v>6</v>
      </c>
      <c r="M289" s="10">
        <v>700</v>
      </c>
      <c r="N289" s="10">
        <f>IF(G289&lt;=Cutoffs!$B$4,4,IF(G289&lt;=Cutoffs!$C$4,3,IF(G289&lt;=Cutoffs!$D$4,2,1)))</f>
        <v>1</v>
      </c>
      <c r="O289" s="10">
        <f>IF(F289&gt;=Cutoffs!$D$5,4,IF(F289&gt;=Cutoffs!$C$5,3,IF(F289&gt;=Cutoffs!$B$5,2,1)))</f>
        <v>2</v>
      </c>
      <c r="P289" s="10">
        <f>IF(H289&gt;=Cutoffs!$D$6,4,IF(H289&gt;=Cutoffs!$C$6,3,IF(H289&gt;=Cutoffs!$B$6,2,1)))</f>
        <v>4</v>
      </c>
      <c r="Q289" s="10">
        <f t="shared" si="8"/>
        <v>7</v>
      </c>
      <c r="R289" s="10" t="str">
        <f t="shared" si="9"/>
        <v>Dormant</v>
      </c>
    </row>
    <row r="290" spans="1:18" x14ac:dyDescent="0.55000000000000004">
      <c r="A290" s="10" t="s">
        <v>330</v>
      </c>
      <c r="B290" s="10" t="s">
        <v>38</v>
      </c>
      <c r="C290" s="10" t="s">
        <v>35</v>
      </c>
      <c r="D290" s="10" t="s">
        <v>36</v>
      </c>
      <c r="E290" s="10">
        <v>0</v>
      </c>
      <c r="F290" s="10">
        <v>147</v>
      </c>
      <c r="G290" s="10">
        <v>6</v>
      </c>
      <c r="H290" s="10">
        <v>55</v>
      </c>
      <c r="I290" s="11">
        <v>5.88</v>
      </c>
      <c r="J290" s="12">
        <v>0.52400000000000002</v>
      </c>
      <c r="K290" s="11">
        <v>2.48</v>
      </c>
      <c r="L290" s="10">
        <v>45</v>
      </c>
      <c r="M290" s="10">
        <v>312</v>
      </c>
      <c r="N290" s="10">
        <f>IF(G290&lt;=Cutoffs!$B$4,4,IF(G290&lt;=Cutoffs!$C$4,3,IF(G290&lt;=Cutoffs!$D$4,2,1)))</f>
        <v>3</v>
      </c>
      <c r="O290" s="10">
        <f>IF(F290&gt;=Cutoffs!$D$5,4,IF(F290&gt;=Cutoffs!$C$5,3,IF(F290&gt;=Cutoffs!$B$5,2,1)))</f>
        <v>3</v>
      </c>
      <c r="P290" s="10">
        <f>IF(H290&gt;=Cutoffs!$D$6,4,IF(H290&gt;=Cutoffs!$C$6,3,IF(H290&gt;=Cutoffs!$B$6,2,1)))</f>
        <v>4</v>
      </c>
      <c r="Q290" s="10">
        <f t="shared" si="8"/>
        <v>10</v>
      </c>
      <c r="R290" s="10" t="str">
        <f t="shared" si="9"/>
        <v>Champions</v>
      </c>
    </row>
    <row r="291" spans="1:18" x14ac:dyDescent="0.55000000000000004">
      <c r="A291" s="10" t="s">
        <v>331</v>
      </c>
      <c r="B291" s="10" t="s">
        <v>47</v>
      </c>
      <c r="C291" s="10" t="s">
        <v>35</v>
      </c>
      <c r="D291" s="10" t="s">
        <v>32</v>
      </c>
      <c r="E291" s="10">
        <v>1</v>
      </c>
      <c r="F291" s="10">
        <v>194</v>
      </c>
      <c r="G291" s="10">
        <v>26</v>
      </c>
      <c r="H291" s="10">
        <v>29</v>
      </c>
      <c r="I291" s="11">
        <v>6.06</v>
      </c>
      <c r="J291" s="12">
        <v>0.57199999999999995</v>
      </c>
      <c r="K291" s="11">
        <v>4.42</v>
      </c>
      <c r="L291" s="10">
        <v>-48</v>
      </c>
      <c r="M291" s="10">
        <v>637</v>
      </c>
      <c r="N291" s="10">
        <f>IF(G291&lt;=Cutoffs!$B$4,4,IF(G291&lt;=Cutoffs!$C$4,3,IF(G291&lt;=Cutoffs!$D$4,2,1)))</f>
        <v>1</v>
      </c>
      <c r="O291" s="10">
        <f>IF(F291&gt;=Cutoffs!$D$5,4,IF(F291&gt;=Cutoffs!$C$5,3,IF(F291&gt;=Cutoffs!$B$5,2,1)))</f>
        <v>4</v>
      </c>
      <c r="P291" s="10">
        <f>IF(H291&gt;=Cutoffs!$D$6,4,IF(H291&gt;=Cutoffs!$C$6,3,IF(H291&gt;=Cutoffs!$B$6,2,1)))</f>
        <v>3</v>
      </c>
      <c r="Q291" s="10">
        <f t="shared" si="8"/>
        <v>8</v>
      </c>
      <c r="R291" s="10" t="str">
        <f t="shared" si="9"/>
        <v>At risk</v>
      </c>
    </row>
    <row r="292" spans="1:18" x14ac:dyDescent="0.55000000000000004">
      <c r="A292" s="10" t="s">
        <v>332</v>
      </c>
      <c r="B292" s="10" t="s">
        <v>43</v>
      </c>
      <c r="C292" s="10" t="s">
        <v>31</v>
      </c>
      <c r="D292" s="10" t="s">
        <v>41</v>
      </c>
      <c r="E292" s="10">
        <v>1</v>
      </c>
      <c r="F292" s="10">
        <v>161</v>
      </c>
      <c r="G292" s="10">
        <v>24</v>
      </c>
      <c r="H292" s="10">
        <v>13</v>
      </c>
      <c r="I292" s="11">
        <v>4.03</v>
      </c>
      <c r="J292" s="12">
        <v>0.46600000000000003</v>
      </c>
      <c r="K292" s="11">
        <v>3.98</v>
      </c>
      <c r="L292" s="10">
        <v>69</v>
      </c>
      <c r="M292" s="10">
        <v>118</v>
      </c>
      <c r="N292" s="10">
        <f>IF(G292&lt;=Cutoffs!$B$4,4,IF(G292&lt;=Cutoffs!$C$4,3,IF(G292&lt;=Cutoffs!$D$4,2,1)))</f>
        <v>1</v>
      </c>
      <c r="O292" s="10">
        <f>IF(F292&gt;=Cutoffs!$D$5,4,IF(F292&gt;=Cutoffs!$C$5,3,IF(F292&gt;=Cutoffs!$B$5,2,1)))</f>
        <v>4</v>
      </c>
      <c r="P292" s="10">
        <f>IF(H292&gt;=Cutoffs!$D$6,4,IF(H292&gt;=Cutoffs!$C$6,3,IF(H292&gt;=Cutoffs!$B$6,2,1)))</f>
        <v>2</v>
      </c>
      <c r="Q292" s="10">
        <f t="shared" si="8"/>
        <v>7</v>
      </c>
      <c r="R292" s="10" t="str">
        <f t="shared" si="9"/>
        <v>At risk</v>
      </c>
    </row>
    <row r="293" spans="1:18" x14ac:dyDescent="0.55000000000000004">
      <c r="A293" s="10" t="s">
        <v>333</v>
      </c>
      <c r="B293" s="10" t="s">
        <v>38</v>
      </c>
      <c r="C293" s="10" t="s">
        <v>35</v>
      </c>
      <c r="D293" s="10" t="s">
        <v>44</v>
      </c>
      <c r="E293" s="10">
        <v>0</v>
      </c>
      <c r="F293" s="10">
        <v>36</v>
      </c>
      <c r="G293" s="10">
        <v>9</v>
      </c>
      <c r="H293" s="10">
        <v>10</v>
      </c>
      <c r="I293" s="11">
        <v>1.64</v>
      </c>
      <c r="J293" s="12">
        <v>0.5</v>
      </c>
      <c r="K293" s="11">
        <v>3.19</v>
      </c>
      <c r="L293" s="10">
        <v>20</v>
      </c>
      <c r="M293" s="10">
        <v>242</v>
      </c>
      <c r="N293" s="10">
        <f>IF(G293&lt;=Cutoffs!$B$4,4,IF(G293&lt;=Cutoffs!$C$4,3,IF(G293&lt;=Cutoffs!$D$4,2,1)))</f>
        <v>2</v>
      </c>
      <c r="O293" s="10">
        <f>IF(F293&gt;=Cutoffs!$D$5,4,IF(F293&gt;=Cutoffs!$C$5,3,IF(F293&gt;=Cutoffs!$B$5,2,1)))</f>
        <v>1</v>
      </c>
      <c r="P293" s="10">
        <f>IF(H293&gt;=Cutoffs!$D$6,4,IF(H293&gt;=Cutoffs!$C$6,3,IF(H293&gt;=Cutoffs!$B$6,2,1)))</f>
        <v>1</v>
      </c>
      <c r="Q293" s="10">
        <f t="shared" si="8"/>
        <v>4</v>
      </c>
      <c r="R293" s="10" t="str">
        <f t="shared" si="9"/>
        <v>Cooling</v>
      </c>
    </row>
    <row r="294" spans="1:18" x14ac:dyDescent="0.55000000000000004">
      <c r="A294" s="10" t="s">
        <v>334</v>
      </c>
      <c r="B294" s="10" t="s">
        <v>34</v>
      </c>
      <c r="C294" s="10" t="s">
        <v>35</v>
      </c>
      <c r="D294" s="10" t="s">
        <v>36</v>
      </c>
      <c r="E294" s="10">
        <v>0</v>
      </c>
      <c r="F294" s="10">
        <v>91</v>
      </c>
      <c r="G294" s="10">
        <v>1</v>
      </c>
      <c r="H294" s="10">
        <v>14</v>
      </c>
      <c r="I294" s="11">
        <v>4.1399999999999997</v>
      </c>
      <c r="J294" s="12">
        <v>0.51600000000000001</v>
      </c>
      <c r="K294" s="11">
        <v>2.85</v>
      </c>
      <c r="L294" s="10">
        <v>89</v>
      </c>
      <c r="M294" s="10">
        <v>246</v>
      </c>
      <c r="N294" s="10">
        <f>IF(G294&lt;=Cutoffs!$B$4,4,IF(G294&lt;=Cutoffs!$C$4,3,IF(G294&lt;=Cutoffs!$D$4,2,1)))</f>
        <v>4</v>
      </c>
      <c r="O294" s="10">
        <f>IF(F294&gt;=Cutoffs!$D$5,4,IF(F294&gt;=Cutoffs!$C$5,3,IF(F294&gt;=Cutoffs!$B$5,2,1)))</f>
        <v>2</v>
      </c>
      <c r="P294" s="10">
        <f>IF(H294&gt;=Cutoffs!$D$6,4,IF(H294&gt;=Cutoffs!$C$6,3,IF(H294&gt;=Cutoffs!$B$6,2,1)))</f>
        <v>2</v>
      </c>
      <c r="Q294" s="10">
        <f t="shared" si="8"/>
        <v>8</v>
      </c>
      <c r="R294" s="10" t="str">
        <f t="shared" si="9"/>
        <v>Promising</v>
      </c>
    </row>
    <row r="295" spans="1:18" x14ac:dyDescent="0.55000000000000004">
      <c r="A295" s="10" t="s">
        <v>335</v>
      </c>
      <c r="B295" s="10" t="s">
        <v>47</v>
      </c>
      <c r="C295" s="10" t="s">
        <v>35</v>
      </c>
      <c r="D295" s="10" t="s">
        <v>32</v>
      </c>
      <c r="E295" s="10">
        <v>0</v>
      </c>
      <c r="F295" s="10">
        <v>143</v>
      </c>
      <c r="G295" s="10">
        <v>3</v>
      </c>
      <c r="H295" s="10">
        <v>20</v>
      </c>
      <c r="I295" s="11">
        <v>2.6</v>
      </c>
      <c r="J295" s="12">
        <v>0.48899999999999999</v>
      </c>
      <c r="K295" s="11">
        <v>4.7300000000000004</v>
      </c>
      <c r="L295" s="10">
        <v>55</v>
      </c>
      <c r="M295" s="10">
        <v>716</v>
      </c>
      <c r="N295" s="10">
        <f>IF(G295&lt;=Cutoffs!$B$4,4,IF(G295&lt;=Cutoffs!$C$4,3,IF(G295&lt;=Cutoffs!$D$4,2,1)))</f>
        <v>3</v>
      </c>
      <c r="O295" s="10">
        <f>IF(F295&gt;=Cutoffs!$D$5,4,IF(F295&gt;=Cutoffs!$C$5,3,IF(F295&gt;=Cutoffs!$B$5,2,1)))</f>
        <v>3</v>
      </c>
      <c r="P295" s="10">
        <f>IF(H295&gt;=Cutoffs!$D$6,4,IF(H295&gt;=Cutoffs!$C$6,3,IF(H295&gt;=Cutoffs!$B$6,2,1)))</f>
        <v>3</v>
      </c>
      <c r="Q295" s="10">
        <f t="shared" si="8"/>
        <v>9</v>
      </c>
      <c r="R295" s="10" t="str">
        <f t="shared" si="9"/>
        <v>Champions</v>
      </c>
    </row>
    <row r="296" spans="1:18" x14ac:dyDescent="0.55000000000000004">
      <c r="A296" s="10" t="s">
        <v>336</v>
      </c>
      <c r="B296" s="10" t="s">
        <v>58</v>
      </c>
      <c r="C296" s="10" t="s">
        <v>31</v>
      </c>
      <c r="D296" s="10" t="s">
        <v>39</v>
      </c>
      <c r="E296" s="10">
        <v>1</v>
      </c>
      <c r="F296" s="10">
        <v>29</v>
      </c>
      <c r="G296" s="10">
        <v>13</v>
      </c>
      <c r="H296" s="10">
        <v>7</v>
      </c>
      <c r="I296" s="11">
        <v>1.61</v>
      </c>
      <c r="J296" s="12">
        <v>0.44800000000000001</v>
      </c>
      <c r="K296" s="11">
        <v>1.95</v>
      </c>
      <c r="L296" s="10">
        <v>-9</v>
      </c>
      <c r="M296" s="10">
        <v>298</v>
      </c>
      <c r="N296" s="10">
        <f>IF(G296&lt;=Cutoffs!$B$4,4,IF(G296&lt;=Cutoffs!$C$4,3,IF(G296&lt;=Cutoffs!$D$4,2,1)))</f>
        <v>2</v>
      </c>
      <c r="O296" s="10">
        <f>IF(F296&gt;=Cutoffs!$D$5,4,IF(F296&gt;=Cutoffs!$C$5,3,IF(F296&gt;=Cutoffs!$B$5,2,1)))</f>
        <v>1</v>
      </c>
      <c r="P296" s="10">
        <f>IF(H296&gt;=Cutoffs!$D$6,4,IF(H296&gt;=Cutoffs!$C$6,3,IF(H296&gt;=Cutoffs!$B$6,2,1)))</f>
        <v>1</v>
      </c>
      <c r="Q296" s="10">
        <f t="shared" si="8"/>
        <v>4</v>
      </c>
      <c r="R296" s="10" t="str">
        <f t="shared" si="9"/>
        <v>Cooling</v>
      </c>
    </row>
    <row r="297" spans="1:18" x14ac:dyDescent="0.55000000000000004">
      <c r="A297" s="10" t="s">
        <v>337</v>
      </c>
      <c r="B297" s="10" t="s">
        <v>47</v>
      </c>
      <c r="C297" s="10" t="s">
        <v>35</v>
      </c>
      <c r="D297" s="10" t="s">
        <v>36</v>
      </c>
      <c r="E297" s="10">
        <v>0</v>
      </c>
      <c r="F297" s="10">
        <v>43</v>
      </c>
      <c r="G297" s="10">
        <v>45</v>
      </c>
      <c r="H297" s="10">
        <v>7</v>
      </c>
      <c r="I297" s="11">
        <v>2.5299999999999998</v>
      </c>
      <c r="J297" s="12">
        <v>0.58099999999999996</v>
      </c>
      <c r="K297" s="11">
        <v>3.92</v>
      </c>
      <c r="L297" s="10">
        <v>-35</v>
      </c>
      <c r="M297" s="10">
        <v>499</v>
      </c>
      <c r="N297" s="10">
        <f>IF(G297&lt;=Cutoffs!$B$4,4,IF(G297&lt;=Cutoffs!$C$4,3,IF(G297&lt;=Cutoffs!$D$4,2,1)))</f>
        <v>1</v>
      </c>
      <c r="O297" s="10">
        <f>IF(F297&gt;=Cutoffs!$D$5,4,IF(F297&gt;=Cutoffs!$C$5,3,IF(F297&gt;=Cutoffs!$B$5,2,1)))</f>
        <v>1</v>
      </c>
      <c r="P297" s="10">
        <f>IF(H297&gt;=Cutoffs!$D$6,4,IF(H297&gt;=Cutoffs!$C$6,3,IF(H297&gt;=Cutoffs!$B$6,2,1)))</f>
        <v>1</v>
      </c>
      <c r="Q297" s="10">
        <f t="shared" si="8"/>
        <v>3</v>
      </c>
      <c r="R297" s="10" t="str">
        <f t="shared" si="9"/>
        <v>Dormant</v>
      </c>
    </row>
    <row r="298" spans="1:18" x14ac:dyDescent="0.55000000000000004">
      <c r="A298" s="10" t="s">
        <v>338</v>
      </c>
      <c r="B298" s="10" t="s">
        <v>30</v>
      </c>
      <c r="C298" s="10" t="s">
        <v>31</v>
      </c>
      <c r="D298" s="10" t="s">
        <v>36</v>
      </c>
      <c r="E298" s="10">
        <v>0</v>
      </c>
      <c r="F298" s="10">
        <v>106</v>
      </c>
      <c r="G298" s="10">
        <v>12</v>
      </c>
      <c r="H298" s="10">
        <v>30</v>
      </c>
      <c r="I298" s="11">
        <v>5.3</v>
      </c>
      <c r="J298" s="12">
        <v>0.46200000000000002</v>
      </c>
      <c r="K298" s="11">
        <v>2.54</v>
      </c>
      <c r="L298" s="10">
        <v>80</v>
      </c>
      <c r="M298" s="10">
        <v>651</v>
      </c>
      <c r="N298" s="10">
        <f>IF(G298&lt;=Cutoffs!$B$4,4,IF(G298&lt;=Cutoffs!$C$4,3,IF(G298&lt;=Cutoffs!$D$4,2,1)))</f>
        <v>2</v>
      </c>
      <c r="O298" s="10">
        <f>IF(F298&gt;=Cutoffs!$D$5,4,IF(F298&gt;=Cutoffs!$C$5,3,IF(F298&gt;=Cutoffs!$B$5,2,1)))</f>
        <v>3</v>
      </c>
      <c r="P298" s="10">
        <f>IF(H298&gt;=Cutoffs!$D$6,4,IF(H298&gt;=Cutoffs!$C$6,3,IF(H298&gt;=Cutoffs!$B$6,2,1)))</f>
        <v>4</v>
      </c>
      <c r="Q298" s="10">
        <f t="shared" si="8"/>
        <v>9</v>
      </c>
      <c r="R298" s="10" t="str">
        <f t="shared" si="9"/>
        <v>At risk</v>
      </c>
    </row>
    <row r="299" spans="1:18" x14ac:dyDescent="0.55000000000000004">
      <c r="A299" s="10" t="s">
        <v>339</v>
      </c>
      <c r="B299" s="10" t="s">
        <v>47</v>
      </c>
      <c r="C299" s="10" t="s">
        <v>35</v>
      </c>
      <c r="D299" s="10" t="s">
        <v>39</v>
      </c>
      <c r="E299" s="10">
        <v>0</v>
      </c>
      <c r="F299" s="10">
        <v>167</v>
      </c>
      <c r="G299" s="10">
        <v>15</v>
      </c>
      <c r="H299" s="10">
        <v>14</v>
      </c>
      <c r="I299" s="11">
        <v>3.63</v>
      </c>
      <c r="J299" s="12">
        <v>0.48499999999999999</v>
      </c>
      <c r="K299" s="11">
        <v>2.56</v>
      </c>
      <c r="L299" s="10">
        <v>101</v>
      </c>
      <c r="M299" s="10">
        <v>589</v>
      </c>
      <c r="N299" s="10">
        <f>IF(G299&lt;=Cutoffs!$B$4,4,IF(G299&lt;=Cutoffs!$C$4,3,IF(G299&lt;=Cutoffs!$D$4,2,1)))</f>
        <v>2</v>
      </c>
      <c r="O299" s="10">
        <f>IF(F299&gt;=Cutoffs!$D$5,4,IF(F299&gt;=Cutoffs!$C$5,3,IF(F299&gt;=Cutoffs!$B$5,2,1)))</f>
        <v>4</v>
      </c>
      <c r="P299" s="10">
        <f>IF(H299&gt;=Cutoffs!$D$6,4,IF(H299&gt;=Cutoffs!$C$6,3,IF(H299&gt;=Cutoffs!$B$6,2,1)))</f>
        <v>2</v>
      </c>
      <c r="Q299" s="10">
        <f t="shared" si="8"/>
        <v>8</v>
      </c>
      <c r="R299" s="10" t="str">
        <f t="shared" si="9"/>
        <v>At risk</v>
      </c>
    </row>
    <row r="300" spans="1:18" x14ac:dyDescent="0.55000000000000004">
      <c r="A300" s="10" t="s">
        <v>340</v>
      </c>
      <c r="B300" s="10" t="s">
        <v>30</v>
      </c>
      <c r="C300" s="10" t="s">
        <v>31</v>
      </c>
      <c r="D300" s="10" t="s">
        <v>32</v>
      </c>
      <c r="E300" s="10">
        <v>1</v>
      </c>
      <c r="F300" s="10">
        <v>28</v>
      </c>
      <c r="G300" s="10">
        <v>9</v>
      </c>
      <c r="H300" s="10">
        <v>4</v>
      </c>
      <c r="I300" s="11">
        <v>4</v>
      </c>
      <c r="J300" s="12">
        <v>0.57099999999999995</v>
      </c>
      <c r="K300" s="11">
        <v>4.03</v>
      </c>
      <c r="L300" s="10">
        <v>28</v>
      </c>
      <c r="M300" s="10">
        <v>377</v>
      </c>
      <c r="N300" s="10">
        <f>IF(G300&lt;=Cutoffs!$B$4,4,IF(G300&lt;=Cutoffs!$C$4,3,IF(G300&lt;=Cutoffs!$D$4,2,1)))</f>
        <v>2</v>
      </c>
      <c r="O300" s="10">
        <f>IF(F300&gt;=Cutoffs!$D$5,4,IF(F300&gt;=Cutoffs!$C$5,3,IF(F300&gt;=Cutoffs!$B$5,2,1)))</f>
        <v>1</v>
      </c>
      <c r="P300" s="10">
        <f>IF(H300&gt;=Cutoffs!$D$6,4,IF(H300&gt;=Cutoffs!$C$6,3,IF(H300&gt;=Cutoffs!$B$6,2,1)))</f>
        <v>1</v>
      </c>
      <c r="Q300" s="10">
        <f t="shared" si="8"/>
        <v>4</v>
      </c>
      <c r="R300" s="10" t="str">
        <f t="shared" si="9"/>
        <v>Cooling</v>
      </c>
    </row>
    <row r="301" spans="1:18" x14ac:dyDescent="0.55000000000000004">
      <c r="A301" s="10" t="s">
        <v>341</v>
      </c>
      <c r="B301" s="10" t="s">
        <v>43</v>
      </c>
      <c r="C301" s="10" t="s">
        <v>31</v>
      </c>
      <c r="D301" s="10" t="s">
        <v>36</v>
      </c>
      <c r="E301" s="10">
        <v>0</v>
      </c>
      <c r="F301" s="10">
        <v>161</v>
      </c>
      <c r="G301" s="10">
        <v>2</v>
      </c>
      <c r="H301" s="10">
        <v>18</v>
      </c>
      <c r="I301" s="11">
        <v>2.78</v>
      </c>
      <c r="J301" s="12">
        <v>0.50900000000000001</v>
      </c>
      <c r="K301" s="11">
        <v>4.24</v>
      </c>
      <c r="L301" s="10">
        <v>3</v>
      </c>
      <c r="M301" s="10">
        <v>457</v>
      </c>
      <c r="N301" s="10">
        <f>IF(G301&lt;=Cutoffs!$B$4,4,IF(G301&lt;=Cutoffs!$C$4,3,IF(G301&lt;=Cutoffs!$D$4,2,1)))</f>
        <v>3</v>
      </c>
      <c r="O301" s="10">
        <f>IF(F301&gt;=Cutoffs!$D$5,4,IF(F301&gt;=Cutoffs!$C$5,3,IF(F301&gt;=Cutoffs!$B$5,2,1)))</f>
        <v>4</v>
      </c>
      <c r="P301" s="10">
        <f>IF(H301&gt;=Cutoffs!$D$6,4,IF(H301&gt;=Cutoffs!$C$6,3,IF(H301&gt;=Cutoffs!$B$6,2,1)))</f>
        <v>2</v>
      </c>
      <c r="Q301" s="10">
        <f t="shared" si="8"/>
        <v>9</v>
      </c>
      <c r="R301" s="10" t="str">
        <f t="shared" si="9"/>
        <v>Champions</v>
      </c>
    </row>
    <row r="302" spans="1:18" x14ac:dyDescent="0.55000000000000004">
      <c r="A302" s="10" t="s">
        <v>342</v>
      </c>
      <c r="B302" s="10" t="s">
        <v>34</v>
      </c>
      <c r="C302" s="10" t="s">
        <v>35</v>
      </c>
      <c r="D302" s="10" t="s">
        <v>36</v>
      </c>
      <c r="E302" s="10">
        <v>0</v>
      </c>
      <c r="F302" s="10">
        <v>40</v>
      </c>
      <c r="G302" s="10">
        <v>19</v>
      </c>
      <c r="H302" s="10">
        <v>8</v>
      </c>
      <c r="I302" s="11">
        <v>6.67</v>
      </c>
      <c r="J302" s="12">
        <v>0.6</v>
      </c>
      <c r="K302" s="11">
        <v>4.5599999999999996</v>
      </c>
      <c r="L302" s="10">
        <v>10</v>
      </c>
      <c r="M302" s="10">
        <v>601</v>
      </c>
      <c r="N302" s="10">
        <f>IF(G302&lt;=Cutoffs!$B$4,4,IF(G302&lt;=Cutoffs!$C$4,3,IF(G302&lt;=Cutoffs!$D$4,2,1)))</f>
        <v>2</v>
      </c>
      <c r="O302" s="10">
        <f>IF(F302&gt;=Cutoffs!$D$5,4,IF(F302&gt;=Cutoffs!$C$5,3,IF(F302&gt;=Cutoffs!$B$5,2,1)))</f>
        <v>1</v>
      </c>
      <c r="P302" s="10">
        <f>IF(H302&gt;=Cutoffs!$D$6,4,IF(H302&gt;=Cutoffs!$C$6,3,IF(H302&gt;=Cutoffs!$B$6,2,1)))</f>
        <v>1</v>
      </c>
      <c r="Q302" s="10">
        <f t="shared" si="8"/>
        <v>4</v>
      </c>
      <c r="R302" s="10" t="str">
        <f t="shared" si="9"/>
        <v>Cooling</v>
      </c>
    </row>
    <row r="303" spans="1:18" x14ac:dyDescent="0.55000000000000004">
      <c r="A303" s="10" t="s">
        <v>343</v>
      </c>
      <c r="B303" s="10" t="s">
        <v>30</v>
      </c>
      <c r="C303" s="10" t="s">
        <v>31</v>
      </c>
      <c r="D303" s="10" t="s">
        <v>39</v>
      </c>
      <c r="E303" s="10">
        <v>0</v>
      </c>
      <c r="F303" s="10">
        <v>137</v>
      </c>
      <c r="G303" s="10">
        <v>3</v>
      </c>
      <c r="H303" s="10">
        <v>44</v>
      </c>
      <c r="I303" s="11">
        <v>2.63</v>
      </c>
      <c r="J303" s="12">
        <v>0.44500000000000001</v>
      </c>
      <c r="K303" s="11">
        <v>2.33</v>
      </c>
      <c r="L303" s="10">
        <v>-1</v>
      </c>
      <c r="M303" s="10">
        <v>1002</v>
      </c>
      <c r="N303" s="10">
        <f>IF(G303&lt;=Cutoffs!$B$4,4,IF(G303&lt;=Cutoffs!$C$4,3,IF(G303&lt;=Cutoffs!$D$4,2,1)))</f>
        <v>3</v>
      </c>
      <c r="O303" s="10">
        <f>IF(F303&gt;=Cutoffs!$D$5,4,IF(F303&gt;=Cutoffs!$C$5,3,IF(F303&gt;=Cutoffs!$B$5,2,1)))</f>
        <v>3</v>
      </c>
      <c r="P303" s="10">
        <f>IF(H303&gt;=Cutoffs!$D$6,4,IF(H303&gt;=Cutoffs!$C$6,3,IF(H303&gt;=Cutoffs!$B$6,2,1)))</f>
        <v>4</v>
      </c>
      <c r="Q303" s="10">
        <f t="shared" si="8"/>
        <v>10</v>
      </c>
      <c r="R303" s="10" t="str">
        <f t="shared" si="9"/>
        <v>Champions</v>
      </c>
    </row>
    <row r="304" spans="1:18" x14ac:dyDescent="0.55000000000000004">
      <c r="A304" s="10" t="s">
        <v>344</v>
      </c>
      <c r="B304" s="10" t="s">
        <v>34</v>
      </c>
      <c r="C304" s="10" t="s">
        <v>35</v>
      </c>
      <c r="D304" s="10" t="s">
        <v>44</v>
      </c>
      <c r="E304" s="10">
        <v>0</v>
      </c>
      <c r="F304" s="10">
        <v>82</v>
      </c>
      <c r="G304" s="10">
        <v>1</v>
      </c>
      <c r="H304" s="10">
        <v>23</v>
      </c>
      <c r="I304" s="11">
        <v>3.04</v>
      </c>
      <c r="J304" s="12">
        <v>0.53700000000000003</v>
      </c>
      <c r="K304" s="11">
        <v>3.73</v>
      </c>
      <c r="L304" s="10">
        <v>70</v>
      </c>
      <c r="M304" s="10">
        <v>425</v>
      </c>
      <c r="N304" s="10">
        <f>IF(G304&lt;=Cutoffs!$B$4,4,IF(G304&lt;=Cutoffs!$C$4,3,IF(G304&lt;=Cutoffs!$D$4,2,1)))</f>
        <v>4</v>
      </c>
      <c r="O304" s="10">
        <f>IF(F304&gt;=Cutoffs!$D$5,4,IF(F304&gt;=Cutoffs!$C$5,3,IF(F304&gt;=Cutoffs!$B$5,2,1)))</f>
        <v>2</v>
      </c>
      <c r="P304" s="10">
        <f>IF(H304&gt;=Cutoffs!$D$6,4,IF(H304&gt;=Cutoffs!$C$6,3,IF(H304&gt;=Cutoffs!$B$6,2,1)))</f>
        <v>3</v>
      </c>
      <c r="Q304" s="10">
        <f t="shared" si="8"/>
        <v>9</v>
      </c>
      <c r="R304" s="10" t="str">
        <f t="shared" si="9"/>
        <v>Promising</v>
      </c>
    </row>
    <row r="305" spans="1:18" x14ac:dyDescent="0.55000000000000004">
      <c r="A305" s="10" t="s">
        <v>345</v>
      </c>
      <c r="B305" s="10" t="s">
        <v>34</v>
      </c>
      <c r="C305" s="10" t="s">
        <v>35</v>
      </c>
      <c r="D305" s="10" t="s">
        <v>39</v>
      </c>
      <c r="E305" s="10">
        <v>0</v>
      </c>
      <c r="F305" s="10">
        <v>202</v>
      </c>
      <c r="G305" s="10">
        <v>1</v>
      </c>
      <c r="H305" s="10">
        <v>46</v>
      </c>
      <c r="I305" s="11">
        <v>4.21</v>
      </c>
      <c r="J305" s="12">
        <v>0.48499999999999999</v>
      </c>
      <c r="K305" s="11">
        <v>2.42</v>
      </c>
      <c r="L305" s="10">
        <v>202</v>
      </c>
      <c r="M305" s="10">
        <v>182</v>
      </c>
      <c r="N305" s="10">
        <f>IF(G305&lt;=Cutoffs!$B$4,4,IF(G305&lt;=Cutoffs!$C$4,3,IF(G305&lt;=Cutoffs!$D$4,2,1)))</f>
        <v>4</v>
      </c>
      <c r="O305" s="10">
        <f>IF(F305&gt;=Cutoffs!$D$5,4,IF(F305&gt;=Cutoffs!$C$5,3,IF(F305&gt;=Cutoffs!$B$5,2,1)))</f>
        <v>4</v>
      </c>
      <c r="P305" s="10">
        <f>IF(H305&gt;=Cutoffs!$D$6,4,IF(H305&gt;=Cutoffs!$C$6,3,IF(H305&gt;=Cutoffs!$B$6,2,1)))</f>
        <v>4</v>
      </c>
      <c r="Q305" s="10">
        <f t="shared" si="8"/>
        <v>12</v>
      </c>
      <c r="R305" s="10" t="str">
        <f t="shared" si="9"/>
        <v>Champions</v>
      </c>
    </row>
    <row r="306" spans="1:18" x14ac:dyDescent="0.55000000000000004">
      <c r="A306" s="10" t="s">
        <v>346</v>
      </c>
      <c r="B306" s="10" t="s">
        <v>30</v>
      </c>
      <c r="C306" s="10" t="s">
        <v>31</v>
      </c>
      <c r="D306" s="10" t="s">
        <v>44</v>
      </c>
      <c r="E306" s="10">
        <v>0</v>
      </c>
      <c r="F306" s="10">
        <v>167</v>
      </c>
      <c r="G306" s="10">
        <v>1</v>
      </c>
      <c r="H306" s="10">
        <v>40</v>
      </c>
      <c r="I306" s="11">
        <v>3.8</v>
      </c>
      <c r="J306" s="12">
        <v>0.43099999999999999</v>
      </c>
      <c r="K306" s="11">
        <v>4.28</v>
      </c>
      <c r="L306" s="10">
        <v>143</v>
      </c>
      <c r="M306" s="10">
        <v>767</v>
      </c>
      <c r="N306" s="10">
        <f>IF(G306&lt;=Cutoffs!$B$4,4,IF(G306&lt;=Cutoffs!$C$4,3,IF(G306&lt;=Cutoffs!$D$4,2,1)))</f>
        <v>4</v>
      </c>
      <c r="O306" s="10">
        <f>IF(F306&gt;=Cutoffs!$D$5,4,IF(F306&gt;=Cutoffs!$C$5,3,IF(F306&gt;=Cutoffs!$B$5,2,1)))</f>
        <v>4</v>
      </c>
      <c r="P306" s="10">
        <f>IF(H306&gt;=Cutoffs!$D$6,4,IF(H306&gt;=Cutoffs!$C$6,3,IF(H306&gt;=Cutoffs!$B$6,2,1)))</f>
        <v>4</v>
      </c>
      <c r="Q306" s="10">
        <f t="shared" si="8"/>
        <v>12</v>
      </c>
      <c r="R306" s="10" t="str">
        <f t="shared" si="9"/>
        <v>Champions</v>
      </c>
    </row>
    <row r="307" spans="1:18" x14ac:dyDescent="0.55000000000000004">
      <c r="A307" s="10" t="s">
        <v>347</v>
      </c>
      <c r="B307" s="10" t="s">
        <v>47</v>
      </c>
      <c r="C307" s="10" t="s">
        <v>35</v>
      </c>
      <c r="D307" s="10" t="s">
        <v>36</v>
      </c>
      <c r="E307" s="10">
        <v>0</v>
      </c>
      <c r="F307" s="10">
        <v>69</v>
      </c>
      <c r="G307" s="10">
        <v>9</v>
      </c>
      <c r="H307" s="10">
        <v>11</v>
      </c>
      <c r="I307" s="11">
        <v>6.9</v>
      </c>
      <c r="J307" s="12">
        <v>0.46400000000000002</v>
      </c>
      <c r="K307" s="11">
        <v>2.39</v>
      </c>
      <c r="L307" s="10">
        <v>-47</v>
      </c>
      <c r="M307" s="10">
        <v>471</v>
      </c>
      <c r="N307" s="10">
        <f>IF(G307&lt;=Cutoffs!$B$4,4,IF(G307&lt;=Cutoffs!$C$4,3,IF(G307&lt;=Cutoffs!$D$4,2,1)))</f>
        <v>2</v>
      </c>
      <c r="O307" s="10">
        <f>IF(F307&gt;=Cutoffs!$D$5,4,IF(F307&gt;=Cutoffs!$C$5,3,IF(F307&gt;=Cutoffs!$B$5,2,1)))</f>
        <v>2</v>
      </c>
      <c r="P307" s="10">
        <f>IF(H307&gt;=Cutoffs!$D$6,4,IF(H307&gt;=Cutoffs!$C$6,3,IF(H307&gt;=Cutoffs!$B$6,2,1)))</f>
        <v>2</v>
      </c>
      <c r="Q307" s="10">
        <f t="shared" si="8"/>
        <v>6</v>
      </c>
      <c r="R307" s="10" t="str">
        <f t="shared" si="9"/>
        <v>Cooling</v>
      </c>
    </row>
    <row r="308" spans="1:18" x14ac:dyDescent="0.55000000000000004">
      <c r="A308" s="10" t="s">
        <v>348</v>
      </c>
      <c r="B308" s="10" t="s">
        <v>38</v>
      </c>
      <c r="C308" s="10" t="s">
        <v>35</v>
      </c>
      <c r="D308" s="10" t="s">
        <v>39</v>
      </c>
      <c r="E308" s="10">
        <v>0</v>
      </c>
      <c r="F308" s="10">
        <v>198</v>
      </c>
      <c r="G308" s="10">
        <v>1</v>
      </c>
      <c r="H308" s="10">
        <v>6</v>
      </c>
      <c r="I308" s="11">
        <v>3.88</v>
      </c>
      <c r="J308" s="12">
        <v>0.51500000000000001</v>
      </c>
      <c r="K308" s="11">
        <v>2.59</v>
      </c>
      <c r="L308" s="10">
        <v>106</v>
      </c>
      <c r="M308" s="10">
        <v>573</v>
      </c>
      <c r="N308" s="10">
        <f>IF(G308&lt;=Cutoffs!$B$4,4,IF(G308&lt;=Cutoffs!$C$4,3,IF(G308&lt;=Cutoffs!$D$4,2,1)))</f>
        <v>4</v>
      </c>
      <c r="O308" s="10">
        <f>IF(F308&gt;=Cutoffs!$D$5,4,IF(F308&gt;=Cutoffs!$C$5,3,IF(F308&gt;=Cutoffs!$B$5,2,1)))</f>
        <v>4</v>
      </c>
      <c r="P308" s="10">
        <f>IF(H308&gt;=Cutoffs!$D$6,4,IF(H308&gt;=Cutoffs!$C$6,3,IF(H308&gt;=Cutoffs!$B$6,2,1)))</f>
        <v>1</v>
      </c>
      <c r="Q308" s="10">
        <f t="shared" si="8"/>
        <v>9</v>
      </c>
      <c r="R308" s="10" t="str">
        <f t="shared" si="9"/>
        <v>Champions</v>
      </c>
    </row>
    <row r="309" spans="1:18" x14ac:dyDescent="0.55000000000000004">
      <c r="A309" s="10" t="s">
        <v>349</v>
      </c>
      <c r="B309" s="10" t="s">
        <v>30</v>
      </c>
      <c r="C309" s="10" t="s">
        <v>31</v>
      </c>
      <c r="D309" s="10" t="s">
        <v>32</v>
      </c>
      <c r="E309" s="10">
        <v>0</v>
      </c>
      <c r="F309" s="10">
        <v>89</v>
      </c>
      <c r="G309" s="10">
        <v>0</v>
      </c>
      <c r="H309" s="10">
        <v>45</v>
      </c>
      <c r="I309" s="11">
        <v>2.34</v>
      </c>
      <c r="J309" s="12">
        <v>0.41599999999999998</v>
      </c>
      <c r="K309" s="11">
        <v>2.9</v>
      </c>
      <c r="L309" s="10">
        <v>-9</v>
      </c>
      <c r="M309" s="10">
        <v>75</v>
      </c>
      <c r="N309" s="10">
        <f>IF(G309&lt;=Cutoffs!$B$4,4,IF(G309&lt;=Cutoffs!$C$4,3,IF(G309&lt;=Cutoffs!$D$4,2,1)))</f>
        <v>4</v>
      </c>
      <c r="O309" s="10">
        <f>IF(F309&gt;=Cutoffs!$D$5,4,IF(F309&gt;=Cutoffs!$C$5,3,IF(F309&gt;=Cutoffs!$B$5,2,1)))</f>
        <v>2</v>
      </c>
      <c r="P309" s="10">
        <f>IF(H309&gt;=Cutoffs!$D$6,4,IF(H309&gt;=Cutoffs!$C$6,3,IF(H309&gt;=Cutoffs!$B$6,2,1)))</f>
        <v>4</v>
      </c>
      <c r="Q309" s="10">
        <f t="shared" si="8"/>
        <v>10</v>
      </c>
      <c r="R309" s="10" t="str">
        <f t="shared" si="9"/>
        <v>Promising</v>
      </c>
    </row>
    <row r="310" spans="1:18" x14ac:dyDescent="0.55000000000000004">
      <c r="A310" s="10" t="s">
        <v>350</v>
      </c>
      <c r="B310" s="10" t="s">
        <v>34</v>
      </c>
      <c r="C310" s="10" t="s">
        <v>35</v>
      </c>
      <c r="D310" s="10" t="s">
        <v>32</v>
      </c>
      <c r="E310" s="10">
        <v>0</v>
      </c>
      <c r="F310" s="10">
        <v>128</v>
      </c>
      <c r="G310" s="10">
        <v>1</v>
      </c>
      <c r="H310" s="10">
        <v>10</v>
      </c>
      <c r="I310" s="11">
        <v>3.46</v>
      </c>
      <c r="J310" s="12">
        <v>0.53100000000000003</v>
      </c>
      <c r="K310" s="11">
        <v>4.45</v>
      </c>
      <c r="L310" s="10">
        <v>44</v>
      </c>
      <c r="M310" s="10">
        <v>400</v>
      </c>
      <c r="N310" s="10">
        <f>IF(G310&lt;=Cutoffs!$B$4,4,IF(G310&lt;=Cutoffs!$C$4,3,IF(G310&lt;=Cutoffs!$D$4,2,1)))</f>
        <v>4</v>
      </c>
      <c r="O310" s="10">
        <f>IF(F310&gt;=Cutoffs!$D$5,4,IF(F310&gt;=Cutoffs!$C$5,3,IF(F310&gt;=Cutoffs!$B$5,2,1)))</f>
        <v>3</v>
      </c>
      <c r="P310" s="10">
        <f>IF(H310&gt;=Cutoffs!$D$6,4,IF(H310&gt;=Cutoffs!$C$6,3,IF(H310&gt;=Cutoffs!$B$6,2,1)))</f>
        <v>1</v>
      </c>
      <c r="Q310" s="10">
        <f t="shared" si="8"/>
        <v>8</v>
      </c>
      <c r="R310" s="10" t="str">
        <f t="shared" si="9"/>
        <v>Champions</v>
      </c>
    </row>
    <row r="311" spans="1:18" x14ac:dyDescent="0.55000000000000004">
      <c r="A311" s="10" t="s">
        <v>351</v>
      </c>
      <c r="B311" s="10" t="s">
        <v>47</v>
      </c>
      <c r="C311" s="10" t="s">
        <v>35</v>
      </c>
      <c r="D311" s="10" t="s">
        <v>36</v>
      </c>
      <c r="E311" s="10">
        <v>0</v>
      </c>
      <c r="F311" s="10">
        <v>105</v>
      </c>
      <c r="G311" s="10">
        <v>3</v>
      </c>
      <c r="H311" s="10">
        <v>16</v>
      </c>
      <c r="I311" s="11">
        <v>2.5</v>
      </c>
      <c r="J311" s="12">
        <v>0.58099999999999996</v>
      </c>
      <c r="K311" s="11">
        <v>5.1100000000000003</v>
      </c>
      <c r="L311" s="10">
        <v>-31</v>
      </c>
      <c r="M311" s="10">
        <v>393</v>
      </c>
      <c r="N311" s="10">
        <f>IF(G311&lt;=Cutoffs!$B$4,4,IF(G311&lt;=Cutoffs!$C$4,3,IF(G311&lt;=Cutoffs!$D$4,2,1)))</f>
        <v>3</v>
      </c>
      <c r="O311" s="10">
        <f>IF(F311&gt;=Cutoffs!$D$5,4,IF(F311&gt;=Cutoffs!$C$5,3,IF(F311&gt;=Cutoffs!$B$5,2,1)))</f>
        <v>3</v>
      </c>
      <c r="P311" s="10">
        <f>IF(H311&gt;=Cutoffs!$D$6,4,IF(H311&gt;=Cutoffs!$C$6,3,IF(H311&gt;=Cutoffs!$B$6,2,1)))</f>
        <v>2</v>
      </c>
      <c r="Q311" s="10">
        <f t="shared" si="8"/>
        <v>8</v>
      </c>
      <c r="R311" s="10" t="str">
        <f t="shared" si="9"/>
        <v>Champions</v>
      </c>
    </row>
    <row r="312" spans="1:18" x14ac:dyDescent="0.55000000000000004">
      <c r="A312" s="10" t="s">
        <v>352</v>
      </c>
      <c r="B312" s="10" t="s">
        <v>34</v>
      </c>
      <c r="C312" s="10" t="s">
        <v>35</v>
      </c>
      <c r="D312" s="10" t="s">
        <v>41</v>
      </c>
      <c r="E312" s="10">
        <v>1</v>
      </c>
      <c r="F312" s="10">
        <v>34</v>
      </c>
      <c r="G312" s="10">
        <v>60</v>
      </c>
      <c r="H312" s="10">
        <v>11</v>
      </c>
      <c r="I312" s="11">
        <v>2.4300000000000002</v>
      </c>
      <c r="J312" s="12">
        <v>0.35299999999999998</v>
      </c>
      <c r="K312" s="11">
        <v>3.52</v>
      </c>
      <c r="L312" s="10">
        <v>-24</v>
      </c>
      <c r="M312" s="10">
        <v>711</v>
      </c>
      <c r="N312" s="10">
        <f>IF(G312&lt;=Cutoffs!$B$4,4,IF(G312&lt;=Cutoffs!$C$4,3,IF(G312&lt;=Cutoffs!$D$4,2,1)))</f>
        <v>1</v>
      </c>
      <c r="O312" s="10">
        <f>IF(F312&gt;=Cutoffs!$D$5,4,IF(F312&gt;=Cutoffs!$C$5,3,IF(F312&gt;=Cutoffs!$B$5,2,1)))</f>
        <v>1</v>
      </c>
      <c r="P312" s="10">
        <f>IF(H312&gt;=Cutoffs!$D$6,4,IF(H312&gt;=Cutoffs!$C$6,3,IF(H312&gt;=Cutoffs!$B$6,2,1)))</f>
        <v>2</v>
      </c>
      <c r="Q312" s="10">
        <f t="shared" si="8"/>
        <v>4</v>
      </c>
      <c r="R312" s="10" t="str">
        <f t="shared" si="9"/>
        <v>Dormant</v>
      </c>
    </row>
    <row r="313" spans="1:18" x14ac:dyDescent="0.55000000000000004">
      <c r="A313" s="10" t="s">
        <v>353</v>
      </c>
      <c r="B313" s="10" t="s">
        <v>34</v>
      </c>
      <c r="C313" s="10" t="s">
        <v>35</v>
      </c>
      <c r="D313" s="10" t="s">
        <v>36</v>
      </c>
      <c r="E313" s="10">
        <v>1</v>
      </c>
      <c r="F313" s="10">
        <v>56</v>
      </c>
      <c r="G313" s="10">
        <v>39</v>
      </c>
      <c r="H313" s="10">
        <v>18</v>
      </c>
      <c r="I313" s="11">
        <v>3.29</v>
      </c>
      <c r="J313" s="12">
        <v>0.64300000000000002</v>
      </c>
      <c r="K313" s="11">
        <v>4.07</v>
      </c>
      <c r="L313" s="10">
        <v>2</v>
      </c>
      <c r="M313" s="10">
        <v>35</v>
      </c>
      <c r="N313" s="10">
        <f>IF(G313&lt;=Cutoffs!$B$4,4,IF(G313&lt;=Cutoffs!$C$4,3,IF(G313&lt;=Cutoffs!$D$4,2,1)))</f>
        <v>1</v>
      </c>
      <c r="O313" s="10">
        <f>IF(F313&gt;=Cutoffs!$D$5,4,IF(F313&gt;=Cutoffs!$C$5,3,IF(F313&gt;=Cutoffs!$B$5,2,1)))</f>
        <v>2</v>
      </c>
      <c r="P313" s="10">
        <f>IF(H313&gt;=Cutoffs!$D$6,4,IF(H313&gt;=Cutoffs!$C$6,3,IF(H313&gt;=Cutoffs!$B$6,2,1)))</f>
        <v>2</v>
      </c>
      <c r="Q313" s="10">
        <f t="shared" si="8"/>
        <v>5</v>
      </c>
      <c r="R313" s="10" t="str">
        <f t="shared" si="9"/>
        <v>Dormant</v>
      </c>
    </row>
    <row r="314" spans="1:18" x14ac:dyDescent="0.55000000000000004">
      <c r="A314" s="10" t="s">
        <v>354</v>
      </c>
      <c r="B314" s="10" t="s">
        <v>58</v>
      </c>
      <c r="C314" s="10" t="s">
        <v>31</v>
      </c>
      <c r="D314" s="10" t="s">
        <v>44</v>
      </c>
      <c r="E314" s="10">
        <v>0</v>
      </c>
      <c r="F314" s="10">
        <v>48</v>
      </c>
      <c r="G314" s="10">
        <v>3</v>
      </c>
      <c r="H314" s="10">
        <v>6</v>
      </c>
      <c r="I314" s="11">
        <v>3.2</v>
      </c>
      <c r="J314" s="12">
        <v>0.33300000000000002</v>
      </c>
      <c r="K314" s="11">
        <v>1.8</v>
      </c>
      <c r="L314" s="10">
        <v>48</v>
      </c>
      <c r="M314" s="10">
        <v>250</v>
      </c>
      <c r="N314" s="10">
        <f>IF(G314&lt;=Cutoffs!$B$4,4,IF(G314&lt;=Cutoffs!$C$4,3,IF(G314&lt;=Cutoffs!$D$4,2,1)))</f>
        <v>3</v>
      </c>
      <c r="O314" s="10">
        <f>IF(F314&gt;=Cutoffs!$D$5,4,IF(F314&gt;=Cutoffs!$C$5,3,IF(F314&gt;=Cutoffs!$B$5,2,1)))</f>
        <v>1</v>
      </c>
      <c r="P314" s="10">
        <f>IF(H314&gt;=Cutoffs!$D$6,4,IF(H314&gt;=Cutoffs!$C$6,3,IF(H314&gt;=Cutoffs!$B$6,2,1)))</f>
        <v>1</v>
      </c>
      <c r="Q314" s="10">
        <f t="shared" si="8"/>
        <v>5</v>
      </c>
      <c r="R314" s="10" t="str">
        <f t="shared" si="9"/>
        <v>Promising</v>
      </c>
    </row>
    <row r="315" spans="1:18" x14ac:dyDescent="0.55000000000000004">
      <c r="A315" s="10" t="s">
        <v>355</v>
      </c>
      <c r="B315" s="10" t="s">
        <v>47</v>
      </c>
      <c r="C315" s="10" t="s">
        <v>35</v>
      </c>
      <c r="D315" s="10" t="s">
        <v>36</v>
      </c>
      <c r="E315" s="10">
        <v>0</v>
      </c>
      <c r="F315" s="10">
        <v>163</v>
      </c>
      <c r="G315" s="10">
        <v>3</v>
      </c>
      <c r="H315" s="10">
        <v>23</v>
      </c>
      <c r="I315" s="11">
        <v>3.02</v>
      </c>
      <c r="J315" s="12">
        <v>0.51500000000000001</v>
      </c>
      <c r="K315" s="11">
        <v>2.64</v>
      </c>
      <c r="L315" s="10">
        <v>-93</v>
      </c>
      <c r="M315" s="10">
        <v>1082</v>
      </c>
      <c r="N315" s="10">
        <f>IF(G315&lt;=Cutoffs!$B$4,4,IF(G315&lt;=Cutoffs!$C$4,3,IF(G315&lt;=Cutoffs!$D$4,2,1)))</f>
        <v>3</v>
      </c>
      <c r="O315" s="10">
        <f>IF(F315&gt;=Cutoffs!$D$5,4,IF(F315&gt;=Cutoffs!$C$5,3,IF(F315&gt;=Cutoffs!$B$5,2,1)))</f>
        <v>4</v>
      </c>
      <c r="P315" s="10">
        <f>IF(H315&gt;=Cutoffs!$D$6,4,IF(H315&gt;=Cutoffs!$C$6,3,IF(H315&gt;=Cutoffs!$B$6,2,1)))</f>
        <v>3</v>
      </c>
      <c r="Q315" s="10">
        <f t="shared" si="8"/>
        <v>10</v>
      </c>
      <c r="R315" s="10" t="str">
        <f t="shared" si="9"/>
        <v>Champions</v>
      </c>
    </row>
    <row r="316" spans="1:18" x14ac:dyDescent="0.55000000000000004">
      <c r="A316" s="10" t="s">
        <v>356</v>
      </c>
      <c r="B316" s="10" t="s">
        <v>38</v>
      </c>
      <c r="C316" s="10" t="s">
        <v>35</v>
      </c>
      <c r="D316" s="10" t="s">
        <v>39</v>
      </c>
      <c r="E316" s="10">
        <v>0</v>
      </c>
      <c r="F316" s="10">
        <v>86</v>
      </c>
      <c r="G316" s="10">
        <v>2</v>
      </c>
      <c r="H316" s="10">
        <v>43</v>
      </c>
      <c r="I316" s="11">
        <v>2.0499999999999998</v>
      </c>
      <c r="J316" s="12">
        <v>0.51200000000000001</v>
      </c>
      <c r="K316" s="11">
        <v>3.29</v>
      </c>
      <c r="L316" s="10">
        <v>28</v>
      </c>
      <c r="M316" s="10">
        <v>575</v>
      </c>
      <c r="N316" s="10">
        <f>IF(G316&lt;=Cutoffs!$B$4,4,IF(G316&lt;=Cutoffs!$C$4,3,IF(G316&lt;=Cutoffs!$D$4,2,1)))</f>
        <v>3</v>
      </c>
      <c r="O316" s="10">
        <f>IF(F316&gt;=Cutoffs!$D$5,4,IF(F316&gt;=Cutoffs!$C$5,3,IF(F316&gt;=Cutoffs!$B$5,2,1)))</f>
        <v>2</v>
      </c>
      <c r="P316" s="10">
        <f>IF(H316&gt;=Cutoffs!$D$6,4,IF(H316&gt;=Cutoffs!$C$6,3,IF(H316&gt;=Cutoffs!$B$6,2,1)))</f>
        <v>4</v>
      </c>
      <c r="Q316" s="10">
        <f t="shared" si="8"/>
        <v>9</v>
      </c>
      <c r="R316" s="10" t="str">
        <f t="shared" si="9"/>
        <v>Promising</v>
      </c>
    </row>
    <row r="317" spans="1:18" x14ac:dyDescent="0.55000000000000004">
      <c r="A317" s="10" t="s">
        <v>357</v>
      </c>
      <c r="B317" s="10" t="s">
        <v>58</v>
      </c>
      <c r="C317" s="10" t="s">
        <v>31</v>
      </c>
      <c r="D317" s="10" t="s">
        <v>36</v>
      </c>
      <c r="E317" s="10">
        <v>1</v>
      </c>
      <c r="F317" s="10">
        <v>83</v>
      </c>
      <c r="G317" s="10">
        <v>39</v>
      </c>
      <c r="H317" s="10">
        <v>29</v>
      </c>
      <c r="I317" s="11">
        <v>2.31</v>
      </c>
      <c r="J317" s="12">
        <v>0.42199999999999999</v>
      </c>
      <c r="K317" s="11">
        <v>2.88</v>
      </c>
      <c r="L317" s="10">
        <v>-37</v>
      </c>
      <c r="M317" s="10">
        <v>142</v>
      </c>
      <c r="N317" s="10">
        <f>IF(G317&lt;=Cutoffs!$B$4,4,IF(G317&lt;=Cutoffs!$C$4,3,IF(G317&lt;=Cutoffs!$D$4,2,1)))</f>
        <v>1</v>
      </c>
      <c r="O317" s="10">
        <f>IF(F317&gt;=Cutoffs!$D$5,4,IF(F317&gt;=Cutoffs!$C$5,3,IF(F317&gt;=Cutoffs!$B$5,2,1)))</f>
        <v>2</v>
      </c>
      <c r="P317" s="10">
        <f>IF(H317&gt;=Cutoffs!$D$6,4,IF(H317&gt;=Cutoffs!$C$6,3,IF(H317&gt;=Cutoffs!$B$6,2,1)))</f>
        <v>3</v>
      </c>
      <c r="Q317" s="10">
        <f t="shared" si="8"/>
        <v>6</v>
      </c>
      <c r="R317" s="10" t="str">
        <f t="shared" si="9"/>
        <v>Dormant</v>
      </c>
    </row>
    <row r="318" spans="1:18" x14ac:dyDescent="0.55000000000000004">
      <c r="A318" s="10" t="s">
        <v>358</v>
      </c>
      <c r="B318" s="10" t="s">
        <v>30</v>
      </c>
      <c r="C318" s="10" t="s">
        <v>31</v>
      </c>
      <c r="D318" s="10" t="s">
        <v>41</v>
      </c>
      <c r="E318" s="10">
        <v>0</v>
      </c>
      <c r="F318" s="10">
        <v>58</v>
      </c>
      <c r="G318" s="10">
        <v>3</v>
      </c>
      <c r="H318" s="10">
        <v>32</v>
      </c>
      <c r="I318" s="11">
        <v>2.42</v>
      </c>
      <c r="J318" s="12">
        <v>0.48299999999999998</v>
      </c>
      <c r="K318" s="11">
        <v>2.98</v>
      </c>
      <c r="L318" s="10">
        <v>8</v>
      </c>
      <c r="M318" s="10">
        <v>161</v>
      </c>
      <c r="N318" s="10">
        <f>IF(G318&lt;=Cutoffs!$B$4,4,IF(G318&lt;=Cutoffs!$C$4,3,IF(G318&lt;=Cutoffs!$D$4,2,1)))</f>
        <v>3</v>
      </c>
      <c r="O318" s="10">
        <f>IF(F318&gt;=Cutoffs!$D$5,4,IF(F318&gt;=Cutoffs!$C$5,3,IF(F318&gt;=Cutoffs!$B$5,2,1)))</f>
        <v>2</v>
      </c>
      <c r="P318" s="10">
        <f>IF(H318&gt;=Cutoffs!$D$6,4,IF(H318&gt;=Cutoffs!$C$6,3,IF(H318&gt;=Cutoffs!$B$6,2,1)))</f>
        <v>4</v>
      </c>
      <c r="Q318" s="10">
        <f t="shared" si="8"/>
        <v>9</v>
      </c>
      <c r="R318" s="10" t="str">
        <f t="shared" si="9"/>
        <v>Promising</v>
      </c>
    </row>
    <row r="319" spans="1:18" x14ac:dyDescent="0.55000000000000004">
      <c r="A319" s="10" t="s">
        <v>359</v>
      </c>
      <c r="B319" s="10" t="s">
        <v>47</v>
      </c>
      <c r="C319" s="10" t="s">
        <v>35</v>
      </c>
      <c r="D319" s="10" t="s">
        <v>32</v>
      </c>
      <c r="E319" s="10">
        <v>1</v>
      </c>
      <c r="F319" s="10">
        <v>76</v>
      </c>
      <c r="G319" s="10">
        <v>11</v>
      </c>
      <c r="H319" s="10">
        <v>13</v>
      </c>
      <c r="I319" s="11">
        <v>3.04</v>
      </c>
      <c r="J319" s="12">
        <v>0.51300000000000001</v>
      </c>
      <c r="K319" s="11">
        <v>4.8600000000000003</v>
      </c>
      <c r="L319" s="10">
        <v>52</v>
      </c>
      <c r="M319" s="10">
        <v>635</v>
      </c>
      <c r="N319" s="10">
        <f>IF(G319&lt;=Cutoffs!$B$4,4,IF(G319&lt;=Cutoffs!$C$4,3,IF(G319&lt;=Cutoffs!$D$4,2,1)))</f>
        <v>2</v>
      </c>
      <c r="O319" s="10">
        <f>IF(F319&gt;=Cutoffs!$D$5,4,IF(F319&gt;=Cutoffs!$C$5,3,IF(F319&gt;=Cutoffs!$B$5,2,1)))</f>
        <v>2</v>
      </c>
      <c r="P319" s="10">
        <f>IF(H319&gt;=Cutoffs!$D$6,4,IF(H319&gt;=Cutoffs!$C$6,3,IF(H319&gt;=Cutoffs!$B$6,2,1)))</f>
        <v>2</v>
      </c>
      <c r="Q319" s="10">
        <f t="shared" si="8"/>
        <v>6</v>
      </c>
      <c r="R319" s="10" t="str">
        <f t="shared" si="9"/>
        <v>Cooling</v>
      </c>
    </row>
    <row r="320" spans="1:18" x14ac:dyDescent="0.55000000000000004">
      <c r="A320" s="10" t="s">
        <v>360</v>
      </c>
      <c r="B320" s="10" t="s">
        <v>38</v>
      </c>
      <c r="C320" s="10" t="s">
        <v>35</v>
      </c>
      <c r="D320" s="10" t="s">
        <v>36</v>
      </c>
      <c r="E320" s="10">
        <v>0</v>
      </c>
      <c r="F320" s="10">
        <v>45</v>
      </c>
      <c r="G320" s="10">
        <v>0</v>
      </c>
      <c r="H320" s="10">
        <v>25</v>
      </c>
      <c r="I320" s="11">
        <v>2.25</v>
      </c>
      <c r="J320" s="12">
        <v>0.44400000000000001</v>
      </c>
      <c r="K320" s="11">
        <v>3.41</v>
      </c>
      <c r="L320" s="10">
        <v>39</v>
      </c>
      <c r="M320" s="10">
        <v>618</v>
      </c>
      <c r="N320" s="10">
        <f>IF(G320&lt;=Cutoffs!$B$4,4,IF(G320&lt;=Cutoffs!$C$4,3,IF(G320&lt;=Cutoffs!$D$4,2,1)))</f>
        <v>4</v>
      </c>
      <c r="O320" s="10">
        <f>IF(F320&gt;=Cutoffs!$D$5,4,IF(F320&gt;=Cutoffs!$C$5,3,IF(F320&gt;=Cutoffs!$B$5,2,1)))</f>
        <v>1</v>
      </c>
      <c r="P320" s="10">
        <f>IF(H320&gt;=Cutoffs!$D$6,4,IF(H320&gt;=Cutoffs!$C$6,3,IF(H320&gt;=Cutoffs!$B$6,2,1)))</f>
        <v>3</v>
      </c>
      <c r="Q320" s="10">
        <f t="shared" si="8"/>
        <v>8</v>
      </c>
      <c r="R320" s="10" t="str">
        <f t="shared" si="9"/>
        <v>Promising</v>
      </c>
    </row>
    <row r="321" spans="1:18" x14ac:dyDescent="0.55000000000000004">
      <c r="A321" s="10" t="s">
        <v>361</v>
      </c>
      <c r="B321" s="10" t="s">
        <v>47</v>
      </c>
      <c r="C321" s="10" t="s">
        <v>35</v>
      </c>
      <c r="D321" s="10" t="s">
        <v>32</v>
      </c>
      <c r="E321" s="10">
        <v>0</v>
      </c>
      <c r="F321" s="10">
        <v>208</v>
      </c>
      <c r="G321" s="10">
        <v>0</v>
      </c>
      <c r="H321" s="10">
        <v>19</v>
      </c>
      <c r="I321" s="11">
        <v>3.85</v>
      </c>
      <c r="J321" s="12">
        <v>0.52900000000000003</v>
      </c>
      <c r="K321" s="11">
        <v>5.49</v>
      </c>
      <c r="L321" s="10">
        <v>208</v>
      </c>
      <c r="M321" s="10">
        <v>766</v>
      </c>
      <c r="N321" s="10">
        <f>IF(G321&lt;=Cutoffs!$B$4,4,IF(G321&lt;=Cutoffs!$C$4,3,IF(G321&lt;=Cutoffs!$D$4,2,1)))</f>
        <v>4</v>
      </c>
      <c r="O321" s="10">
        <f>IF(F321&gt;=Cutoffs!$D$5,4,IF(F321&gt;=Cutoffs!$C$5,3,IF(F321&gt;=Cutoffs!$B$5,2,1)))</f>
        <v>4</v>
      </c>
      <c r="P321" s="10">
        <f>IF(H321&gt;=Cutoffs!$D$6,4,IF(H321&gt;=Cutoffs!$C$6,3,IF(H321&gt;=Cutoffs!$B$6,2,1)))</f>
        <v>2</v>
      </c>
      <c r="Q321" s="10">
        <f t="shared" si="8"/>
        <v>10</v>
      </c>
      <c r="R321" s="10" t="str">
        <f t="shared" si="9"/>
        <v>Champions</v>
      </c>
    </row>
    <row r="322" spans="1:18" x14ac:dyDescent="0.55000000000000004">
      <c r="A322" s="10" t="s">
        <v>362</v>
      </c>
      <c r="B322" s="10" t="s">
        <v>47</v>
      </c>
      <c r="C322" s="10" t="s">
        <v>35</v>
      </c>
      <c r="D322" s="10" t="s">
        <v>32</v>
      </c>
      <c r="E322" s="10">
        <v>0</v>
      </c>
      <c r="F322" s="10">
        <v>202</v>
      </c>
      <c r="G322" s="10">
        <v>1</v>
      </c>
      <c r="H322" s="10">
        <v>23</v>
      </c>
      <c r="I322" s="11">
        <v>4.04</v>
      </c>
      <c r="J322" s="12">
        <v>0.57899999999999996</v>
      </c>
      <c r="K322" s="11">
        <v>4.05</v>
      </c>
      <c r="L322" s="10">
        <v>164</v>
      </c>
      <c r="M322" s="10">
        <v>603</v>
      </c>
      <c r="N322" s="10">
        <f>IF(G322&lt;=Cutoffs!$B$4,4,IF(G322&lt;=Cutoffs!$C$4,3,IF(G322&lt;=Cutoffs!$D$4,2,1)))</f>
        <v>4</v>
      </c>
      <c r="O322" s="10">
        <f>IF(F322&gt;=Cutoffs!$D$5,4,IF(F322&gt;=Cutoffs!$C$5,3,IF(F322&gt;=Cutoffs!$B$5,2,1)))</f>
        <v>4</v>
      </c>
      <c r="P322" s="10">
        <f>IF(H322&gt;=Cutoffs!$D$6,4,IF(H322&gt;=Cutoffs!$C$6,3,IF(H322&gt;=Cutoffs!$B$6,2,1)))</f>
        <v>3</v>
      </c>
      <c r="Q322" s="10">
        <f t="shared" ref="Q322:Q385" si="10">N322+O322+P322</f>
        <v>11</v>
      </c>
      <c r="R322" s="10" t="str">
        <f t="shared" ref="R322:R336" si="11">IF(AND(N322&gt;=3,O322&gt;=3),"Champions",IF(N322&gt;=3,"Promising",IF(AND(O322&gt;=3,N322&lt;=2),"At risk",IF(N322=2,"Cooling","Dormant"))))</f>
        <v>Champions</v>
      </c>
    </row>
    <row r="323" spans="1:18" x14ac:dyDescent="0.55000000000000004">
      <c r="A323" s="10" t="s">
        <v>363</v>
      </c>
      <c r="B323" s="10" t="s">
        <v>38</v>
      </c>
      <c r="C323" s="10" t="s">
        <v>35</v>
      </c>
      <c r="D323" s="10" t="s">
        <v>41</v>
      </c>
      <c r="E323" s="10">
        <v>1</v>
      </c>
      <c r="F323" s="10">
        <v>196</v>
      </c>
      <c r="G323" s="10">
        <v>49</v>
      </c>
      <c r="H323" s="10">
        <v>37</v>
      </c>
      <c r="I323" s="11">
        <v>4.3600000000000003</v>
      </c>
      <c r="J323" s="12">
        <v>0.51500000000000001</v>
      </c>
      <c r="K323" s="11">
        <v>3.22</v>
      </c>
      <c r="L323" s="10">
        <v>-144</v>
      </c>
      <c r="M323" s="10">
        <v>869</v>
      </c>
      <c r="N323" s="10">
        <f>IF(G323&lt;=Cutoffs!$B$4,4,IF(G323&lt;=Cutoffs!$C$4,3,IF(G323&lt;=Cutoffs!$D$4,2,1)))</f>
        <v>1</v>
      </c>
      <c r="O323" s="10">
        <f>IF(F323&gt;=Cutoffs!$D$5,4,IF(F323&gt;=Cutoffs!$C$5,3,IF(F323&gt;=Cutoffs!$B$5,2,1)))</f>
        <v>4</v>
      </c>
      <c r="P323" s="10">
        <f>IF(H323&gt;=Cutoffs!$D$6,4,IF(H323&gt;=Cutoffs!$C$6,3,IF(H323&gt;=Cutoffs!$B$6,2,1)))</f>
        <v>4</v>
      </c>
      <c r="Q323" s="10">
        <f t="shared" si="10"/>
        <v>9</v>
      </c>
      <c r="R323" s="10" t="str">
        <f t="shared" si="11"/>
        <v>At risk</v>
      </c>
    </row>
    <row r="324" spans="1:18" x14ac:dyDescent="0.55000000000000004">
      <c r="A324" s="10" t="s">
        <v>364</v>
      </c>
      <c r="B324" s="10" t="s">
        <v>30</v>
      </c>
      <c r="C324" s="10" t="s">
        <v>31</v>
      </c>
      <c r="D324" s="10" t="s">
        <v>39</v>
      </c>
      <c r="E324" s="10">
        <v>0</v>
      </c>
      <c r="F324" s="10">
        <v>200</v>
      </c>
      <c r="G324" s="10">
        <v>1</v>
      </c>
      <c r="H324" s="10">
        <v>26</v>
      </c>
      <c r="I324" s="11">
        <v>3.51</v>
      </c>
      <c r="J324" s="12">
        <v>0.47</v>
      </c>
      <c r="K324" s="11">
        <v>3.44</v>
      </c>
      <c r="L324" s="10">
        <v>16</v>
      </c>
      <c r="M324" s="10">
        <v>393</v>
      </c>
      <c r="N324" s="10">
        <f>IF(G324&lt;=Cutoffs!$B$4,4,IF(G324&lt;=Cutoffs!$C$4,3,IF(G324&lt;=Cutoffs!$D$4,2,1)))</f>
        <v>4</v>
      </c>
      <c r="O324" s="10">
        <f>IF(F324&gt;=Cutoffs!$D$5,4,IF(F324&gt;=Cutoffs!$C$5,3,IF(F324&gt;=Cutoffs!$B$5,2,1)))</f>
        <v>4</v>
      </c>
      <c r="P324" s="10">
        <f>IF(H324&gt;=Cutoffs!$D$6,4,IF(H324&gt;=Cutoffs!$C$6,3,IF(H324&gt;=Cutoffs!$B$6,2,1)))</f>
        <v>3</v>
      </c>
      <c r="Q324" s="10">
        <f t="shared" si="10"/>
        <v>11</v>
      </c>
      <c r="R324" s="10" t="str">
        <f t="shared" si="11"/>
        <v>Champions</v>
      </c>
    </row>
    <row r="325" spans="1:18" x14ac:dyDescent="0.55000000000000004">
      <c r="A325" s="10" t="s">
        <v>365</v>
      </c>
      <c r="B325" s="10" t="s">
        <v>30</v>
      </c>
      <c r="C325" s="10" t="s">
        <v>31</v>
      </c>
      <c r="D325" s="10" t="s">
        <v>41</v>
      </c>
      <c r="E325" s="10">
        <v>0</v>
      </c>
      <c r="F325" s="10">
        <v>122</v>
      </c>
      <c r="G325" s="10">
        <v>1</v>
      </c>
      <c r="H325" s="10">
        <v>6</v>
      </c>
      <c r="I325" s="11">
        <v>2.4900000000000002</v>
      </c>
      <c r="J325" s="12">
        <v>0.47499999999999998</v>
      </c>
      <c r="K325" s="11">
        <v>5.42</v>
      </c>
      <c r="L325" s="10">
        <v>10</v>
      </c>
      <c r="M325" s="10">
        <v>787</v>
      </c>
      <c r="N325" s="10">
        <f>IF(G325&lt;=Cutoffs!$B$4,4,IF(G325&lt;=Cutoffs!$C$4,3,IF(G325&lt;=Cutoffs!$D$4,2,1)))</f>
        <v>4</v>
      </c>
      <c r="O325" s="10">
        <f>IF(F325&gt;=Cutoffs!$D$5,4,IF(F325&gt;=Cutoffs!$C$5,3,IF(F325&gt;=Cutoffs!$B$5,2,1)))</f>
        <v>3</v>
      </c>
      <c r="P325" s="10">
        <f>IF(H325&gt;=Cutoffs!$D$6,4,IF(H325&gt;=Cutoffs!$C$6,3,IF(H325&gt;=Cutoffs!$B$6,2,1)))</f>
        <v>1</v>
      </c>
      <c r="Q325" s="10">
        <f t="shared" si="10"/>
        <v>8</v>
      </c>
      <c r="R325" s="10" t="str">
        <f t="shared" si="11"/>
        <v>Champions</v>
      </c>
    </row>
    <row r="326" spans="1:18" x14ac:dyDescent="0.55000000000000004">
      <c r="A326" s="10" t="s">
        <v>366</v>
      </c>
      <c r="B326" s="10" t="s">
        <v>30</v>
      </c>
      <c r="C326" s="10" t="s">
        <v>31</v>
      </c>
      <c r="D326" s="10" t="s">
        <v>36</v>
      </c>
      <c r="E326" s="10">
        <v>0</v>
      </c>
      <c r="F326" s="10">
        <v>122</v>
      </c>
      <c r="G326" s="10">
        <v>10</v>
      </c>
      <c r="H326" s="10">
        <v>25</v>
      </c>
      <c r="I326" s="11">
        <v>3.39</v>
      </c>
      <c r="J326" s="12">
        <v>0.49199999999999999</v>
      </c>
      <c r="K326" s="11">
        <v>2.4900000000000002</v>
      </c>
      <c r="L326" s="10">
        <v>76</v>
      </c>
      <c r="M326" s="10">
        <v>154</v>
      </c>
      <c r="N326" s="10">
        <f>IF(G326&lt;=Cutoffs!$B$4,4,IF(G326&lt;=Cutoffs!$C$4,3,IF(G326&lt;=Cutoffs!$D$4,2,1)))</f>
        <v>2</v>
      </c>
      <c r="O326" s="10">
        <f>IF(F326&gt;=Cutoffs!$D$5,4,IF(F326&gt;=Cutoffs!$C$5,3,IF(F326&gt;=Cutoffs!$B$5,2,1)))</f>
        <v>3</v>
      </c>
      <c r="P326" s="10">
        <f>IF(H326&gt;=Cutoffs!$D$6,4,IF(H326&gt;=Cutoffs!$C$6,3,IF(H326&gt;=Cutoffs!$B$6,2,1)))</f>
        <v>3</v>
      </c>
      <c r="Q326" s="10">
        <f t="shared" si="10"/>
        <v>8</v>
      </c>
      <c r="R326" s="10" t="str">
        <f t="shared" si="11"/>
        <v>At risk</v>
      </c>
    </row>
    <row r="327" spans="1:18" x14ac:dyDescent="0.55000000000000004">
      <c r="A327" s="10" t="s">
        <v>367</v>
      </c>
      <c r="B327" s="10" t="s">
        <v>47</v>
      </c>
      <c r="C327" s="10" t="s">
        <v>35</v>
      </c>
      <c r="D327" s="10" t="s">
        <v>44</v>
      </c>
      <c r="E327" s="10">
        <v>1</v>
      </c>
      <c r="F327" s="10">
        <v>76</v>
      </c>
      <c r="G327" s="10">
        <v>49</v>
      </c>
      <c r="H327" s="10">
        <v>42</v>
      </c>
      <c r="I327" s="11">
        <v>4.75</v>
      </c>
      <c r="J327" s="12">
        <v>0.55300000000000005</v>
      </c>
      <c r="K327" s="11">
        <v>3.14</v>
      </c>
      <c r="L327" s="10">
        <v>36</v>
      </c>
      <c r="M327" s="10">
        <v>604</v>
      </c>
      <c r="N327" s="10">
        <f>IF(G327&lt;=Cutoffs!$B$4,4,IF(G327&lt;=Cutoffs!$C$4,3,IF(G327&lt;=Cutoffs!$D$4,2,1)))</f>
        <v>1</v>
      </c>
      <c r="O327" s="10">
        <f>IF(F327&gt;=Cutoffs!$D$5,4,IF(F327&gt;=Cutoffs!$C$5,3,IF(F327&gt;=Cutoffs!$B$5,2,1)))</f>
        <v>2</v>
      </c>
      <c r="P327" s="10">
        <f>IF(H327&gt;=Cutoffs!$D$6,4,IF(H327&gt;=Cutoffs!$C$6,3,IF(H327&gt;=Cutoffs!$B$6,2,1)))</f>
        <v>4</v>
      </c>
      <c r="Q327" s="10">
        <f t="shared" si="10"/>
        <v>7</v>
      </c>
      <c r="R327" s="10" t="str">
        <f t="shared" si="11"/>
        <v>Dormant</v>
      </c>
    </row>
    <row r="328" spans="1:18" x14ac:dyDescent="0.55000000000000004">
      <c r="A328" s="10" t="s">
        <v>368</v>
      </c>
      <c r="B328" s="10" t="s">
        <v>34</v>
      </c>
      <c r="C328" s="10" t="s">
        <v>35</v>
      </c>
      <c r="D328" s="10" t="s">
        <v>32</v>
      </c>
      <c r="E328" s="10">
        <v>1</v>
      </c>
      <c r="F328" s="10">
        <v>140</v>
      </c>
      <c r="G328" s="10">
        <v>28</v>
      </c>
      <c r="H328" s="10">
        <v>12</v>
      </c>
      <c r="I328" s="11">
        <v>4.67</v>
      </c>
      <c r="J328" s="12">
        <v>0.5</v>
      </c>
      <c r="K328" s="11">
        <v>4.12</v>
      </c>
      <c r="L328" s="10">
        <v>88</v>
      </c>
      <c r="M328" s="10">
        <v>227</v>
      </c>
      <c r="N328" s="10">
        <f>IF(G328&lt;=Cutoffs!$B$4,4,IF(G328&lt;=Cutoffs!$C$4,3,IF(G328&lt;=Cutoffs!$D$4,2,1)))</f>
        <v>1</v>
      </c>
      <c r="O328" s="10">
        <f>IF(F328&gt;=Cutoffs!$D$5,4,IF(F328&gt;=Cutoffs!$C$5,3,IF(F328&gt;=Cutoffs!$B$5,2,1)))</f>
        <v>3</v>
      </c>
      <c r="P328" s="10">
        <f>IF(H328&gt;=Cutoffs!$D$6,4,IF(H328&gt;=Cutoffs!$C$6,3,IF(H328&gt;=Cutoffs!$B$6,2,1)))</f>
        <v>2</v>
      </c>
      <c r="Q328" s="10">
        <f t="shared" si="10"/>
        <v>6</v>
      </c>
      <c r="R328" s="10" t="str">
        <f t="shared" si="11"/>
        <v>At risk</v>
      </c>
    </row>
    <row r="329" spans="1:18" x14ac:dyDescent="0.55000000000000004">
      <c r="A329" s="10" t="s">
        <v>369</v>
      </c>
      <c r="B329" s="10" t="s">
        <v>43</v>
      </c>
      <c r="C329" s="10" t="s">
        <v>31</v>
      </c>
      <c r="D329" s="10" t="s">
        <v>36</v>
      </c>
      <c r="E329" s="10">
        <v>0</v>
      </c>
      <c r="F329" s="10">
        <v>52</v>
      </c>
      <c r="G329" s="10">
        <v>1</v>
      </c>
      <c r="H329" s="10">
        <v>13</v>
      </c>
      <c r="I329" s="11">
        <v>3.47</v>
      </c>
      <c r="J329" s="12">
        <v>0.46200000000000002</v>
      </c>
      <c r="K329" s="11">
        <v>2.25</v>
      </c>
      <c r="L329" s="10">
        <v>44</v>
      </c>
      <c r="M329" s="10">
        <v>98</v>
      </c>
      <c r="N329" s="10">
        <f>IF(G329&lt;=Cutoffs!$B$4,4,IF(G329&lt;=Cutoffs!$C$4,3,IF(G329&lt;=Cutoffs!$D$4,2,1)))</f>
        <v>4</v>
      </c>
      <c r="O329" s="10">
        <f>IF(F329&gt;=Cutoffs!$D$5,4,IF(F329&gt;=Cutoffs!$C$5,3,IF(F329&gt;=Cutoffs!$B$5,2,1)))</f>
        <v>2</v>
      </c>
      <c r="P329" s="10">
        <f>IF(H329&gt;=Cutoffs!$D$6,4,IF(H329&gt;=Cutoffs!$C$6,3,IF(H329&gt;=Cutoffs!$B$6,2,1)))</f>
        <v>2</v>
      </c>
      <c r="Q329" s="10">
        <f t="shared" si="10"/>
        <v>8</v>
      </c>
      <c r="R329" s="10" t="str">
        <f t="shared" si="11"/>
        <v>Promising</v>
      </c>
    </row>
    <row r="330" spans="1:18" x14ac:dyDescent="0.55000000000000004">
      <c r="A330" s="10" t="s">
        <v>370</v>
      </c>
      <c r="B330" s="10" t="s">
        <v>38</v>
      </c>
      <c r="C330" s="10" t="s">
        <v>35</v>
      </c>
      <c r="D330" s="10" t="s">
        <v>41</v>
      </c>
      <c r="E330" s="10">
        <v>1</v>
      </c>
      <c r="F330" s="10">
        <v>65</v>
      </c>
      <c r="G330" s="10">
        <v>15</v>
      </c>
      <c r="H330" s="10">
        <v>20</v>
      </c>
      <c r="I330" s="11">
        <v>3.82</v>
      </c>
      <c r="J330" s="12">
        <v>0.70799999999999996</v>
      </c>
      <c r="K330" s="11">
        <v>4.45</v>
      </c>
      <c r="L330" s="10">
        <v>-35</v>
      </c>
      <c r="M330" s="10">
        <v>215</v>
      </c>
      <c r="N330" s="10">
        <f>IF(G330&lt;=Cutoffs!$B$4,4,IF(G330&lt;=Cutoffs!$C$4,3,IF(G330&lt;=Cutoffs!$D$4,2,1)))</f>
        <v>2</v>
      </c>
      <c r="O330" s="10">
        <f>IF(F330&gt;=Cutoffs!$D$5,4,IF(F330&gt;=Cutoffs!$C$5,3,IF(F330&gt;=Cutoffs!$B$5,2,1)))</f>
        <v>2</v>
      </c>
      <c r="P330" s="10">
        <f>IF(H330&gt;=Cutoffs!$D$6,4,IF(H330&gt;=Cutoffs!$C$6,3,IF(H330&gt;=Cutoffs!$B$6,2,1)))</f>
        <v>3</v>
      </c>
      <c r="Q330" s="10">
        <f t="shared" si="10"/>
        <v>7</v>
      </c>
      <c r="R330" s="10" t="str">
        <f t="shared" si="11"/>
        <v>Cooling</v>
      </c>
    </row>
    <row r="331" spans="1:18" x14ac:dyDescent="0.55000000000000004">
      <c r="A331" s="10" t="s">
        <v>371</v>
      </c>
      <c r="B331" s="10" t="s">
        <v>58</v>
      </c>
      <c r="C331" s="10" t="s">
        <v>31</v>
      </c>
      <c r="D331" s="10" t="s">
        <v>32</v>
      </c>
      <c r="E331" s="10">
        <v>0</v>
      </c>
      <c r="F331" s="10">
        <v>186</v>
      </c>
      <c r="G331" s="10">
        <v>2</v>
      </c>
      <c r="H331" s="10">
        <v>31</v>
      </c>
      <c r="I331" s="11">
        <v>6.41</v>
      </c>
      <c r="J331" s="12">
        <v>0.47799999999999998</v>
      </c>
      <c r="K331" s="11">
        <v>3.02</v>
      </c>
      <c r="L331" s="10">
        <v>186</v>
      </c>
      <c r="M331" s="10">
        <v>494</v>
      </c>
      <c r="N331" s="10">
        <f>IF(G331&lt;=Cutoffs!$B$4,4,IF(G331&lt;=Cutoffs!$C$4,3,IF(G331&lt;=Cutoffs!$D$4,2,1)))</f>
        <v>3</v>
      </c>
      <c r="O331" s="10">
        <f>IF(F331&gt;=Cutoffs!$D$5,4,IF(F331&gt;=Cutoffs!$C$5,3,IF(F331&gt;=Cutoffs!$B$5,2,1)))</f>
        <v>4</v>
      </c>
      <c r="P331" s="10">
        <f>IF(H331&gt;=Cutoffs!$D$6,4,IF(H331&gt;=Cutoffs!$C$6,3,IF(H331&gt;=Cutoffs!$B$6,2,1)))</f>
        <v>4</v>
      </c>
      <c r="Q331" s="10">
        <f t="shared" si="10"/>
        <v>11</v>
      </c>
      <c r="R331" s="10" t="str">
        <f t="shared" si="11"/>
        <v>Champions</v>
      </c>
    </row>
    <row r="332" spans="1:18" x14ac:dyDescent="0.55000000000000004">
      <c r="A332" s="10" t="s">
        <v>372</v>
      </c>
      <c r="B332" s="10" t="s">
        <v>34</v>
      </c>
      <c r="C332" s="10" t="s">
        <v>35</v>
      </c>
      <c r="D332" s="10" t="s">
        <v>44</v>
      </c>
      <c r="E332" s="10">
        <v>0</v>
      </c>
      <c r="F332" s="10">
        <v>82</v>
      </c>
      <c r="G332" s="10">
        <v>7</v>
      </c>
      <c r="H332" s="10">
        <v>47</v>
      </c>
      <c r="I332" s="11">
        <v>3.04</v>
      </c>
      <c r="J332" s="12">
        <v>0.61</v>
      </c>
      <c r="K332" s="11">
        <v>3.09</v>
      </c>
      <c r="L332" s="10">
        <v>66</v>
      </c>
      <c r="M332" s="10">
        <v>109</v>
      </c>
      <c r="N332" s="10">
        <f>IF(G332&lt;=Cutoffs!$B$4,4,IF(G332&lt;=Cutoffs!$C$4,3,IF(G332&lt;=Cutoffs!$D$4,2,1)))</f>
        <v>2</v>
      </c>
      <c r="O332" s="10">
        <f>IF(F332&gt;=Cutoffs!$D$5,4,IF(F332&gt;=Cutoffs!$C$5,3,IF(F332&gt;=Cutoffs!$B$5,2,1)))</f>
        <v>2</v>
      </c>
      <c r="P332" s="10">
        <f>IF(H332&gt;=Cutoffs!$D$6,4,IF(H332&gt;=Cutoffs!$C$6,3,IF(H332&gt;=Cutoffs!$B$6,2,1)))</f>
        <v>4</v>
      </c>
      <c r="Q332" s="10">
        <f t="shared" si="10"/>
        <v>8</v>
      </c>
      <c r="R332" s="10" t="str">
        <f t="shared" si="11"/>
        <v>Cooling</v>
      </c>
    </row>
    <row r="333" spans="1:18" x14ac:dyDescent="0.55000000000000004">
      <c r="A333" s="10" t="s">
        <v>373</v>
      </c>
      <c r="B333" s="10" t="s">
        <v>34</v>
      </c>
      <c r="C333" s="10" t="s">
        <v>35</v>
      </c>
      <c r="D333" s="10" t="s">
        <v>32</v>
      </c>
      <c r="E333" s="10">
        <v>1</v>
      </c>
      <c r="F333" s="10">
        <v>45</v>
      </c>
      <c r="G333" s="10">
        <v>35</v>
      </c>
      <c r="H333" s="10">
        <v>6</v>
      </c>
      <c r="I333" s="11">
        <v>7.5</v>
      </c>
      <c r="J333" s="12">
        <v>0.42199999999999999</v>
      </c>
      <c r="K333" s="11">
        <v>3.1</v>
      </c>
      <c r="L333" s="10">
        <v>45</v>
      </c>
      <c r="M333" s="10">
        <v>325</v>
      </c>
      <c r="N333" s="10">
        <f>IF(G333&lt;=Cutoffs!$B$4,4,IF(G333&lt;=Cutoffs!$C$4,3,IF(G333&lt;=Cutoffs!$D$4,2,1)))</f>
        <v>1</v>
      </c>
      <c r="O333" s="10">
        <f>IF(F333&gt;=Cutoffs!$D$5,4,IF(F333&gt;=Cutoffs!$C$5,3,IF(F333&gt;=Cutoffs!$B$5,2,1)))</f>
        <v>1</v>
      </c>
      <c r="P333" s="10">
        <f>IF(H333&gt;=Cutoffs!$D$6,4,IF(H333&gt;=Cutoffs!$C$6,3,IF(H333&gt;=Cutoffs!$B$6,2,1)))</f>
        <v>1</v>
      </c>
      <c r="Q333" s="10">
        <f t="shared" si="10"/>
        <v>3</v>
      </c>
      <c r="R333" s="10" t="str">
        <f t="shared" si="11"/>
        <v>Dormant</v>
      </c>
    </row>
    <row r="334" spans="1:18" x14ac:dyDescent="0.55000000000000004">
      <c r="A334" s="10" t="s">
        <v>374</v>
      </c>
      <c r="B334" s="10" t="s">
        <v>38</v>
      </c>
      <c r="C334" s="10" t="s">
        <v>35</v>
      </c>
      <c r="D334" s="10" t="s">
        <v>41</v>
      </c>
      <c r="E334" s="10">
        <v>0</v>
      </c>
      <c r="F334" s="10">
        <v>156</v>
      </c>
      <c r="G334" s="10">
        <v>7</v>
      </c>
      <c r="H334" s="10">
        <v>27</v>
      </c>
      <c r="I334" s="11">
        <v>3.25</v>
      </c>
      <c r="J334" s="12">
        <v>0.54500000000000004</v>
      </c>
      <c r="K334" s="11">
        <v>4.37</v>
      </c>
      <c r="L334" s="10">
        <v>-40</v>
      </c>
      <c r="M334" s="10">
        <v>456</v>
      </c>
      <c r="N334" s="10">
        <f>IF(G334&lt;=Cutoffs!$B$4,4,IF(G334&lt;=Cutoffs!$C$4,3,IF(G334&lt;=Cutoffs!$D$4,2,1)))</f>
        <v>2</v>
      </c>
      <c r="O334" s="10">
        <f>IF(F334&gt;=Cutoffs!$D$5,4,IF(F334&gt;=Cutoffs!$C$5,3,IF(F334&gt;=Cutoffs!$B$5,2,1)))</f>
        <v>3</v>
      </c>
      <c r="P334" s="10">
        <f>IF(H334&gt;=Cutoffs!$D$6,4,IF(H334&gt;=Cutoffs!$C$6,3,IF(H334&gt;=Cutoffs!$B$6,2,1)))</f>
        <v>3</v>
      </c>
      <c r="Q334" s="10">
        <f t="shared" si="10"/>
        <v>8</v>
      </c>
      <c r="R334" s="10" t="str">
        <f t="shared" si="11"/>
        <v>At risk</v>
      </c>
    </row>
    <row r="335" spans="1:18" x14ac:dyDescent="0.55000000000000004">
      <c r="A335" s="10" t="s">
        <v>375</v>
      </c>
      <c r="B335" s="10" t="s">
        <v>30</v>
      </c>
      <c r="C335" s="10" t="s">
        <v>31</v>
      </c>
      <c r="D335" s="10" t="s">
        <v>41</v>
      </c>
      <c r="E335" s="10">
        <v>1</v>
      </c>
      <c r="F335" s="10">
        <v>44</v>
      </c>
      <c r="G335" s="10">
        <v>34</v>
      </c>
      <c r="H335" s="10">
        <v>30</v>
      </c>
      <c r="I335" s="11">
        <v>5.5</v>
      </c>
      <c r="J335" s="12">
        <v>0.47699999999999998</v>
      </c>
      <c r="K335" s="11">
        <v>3.43</v>
      </c>
      <c r="L335" s="10">
        <v>44</v>
      </c>
      <c r="M335" s="10">
        <v>356</v>
      </c>
      <c r="N335" s="10">
        <f>IF(G335&lt;=Cutoffs!$B$4,4,IF(G335&lt;=Cutoffs!$C$4,3,IF(G335&lt;=Cutoffs!$D$4,2,1)))</f>
        <v>1</v>
      </c>
      <c r="O335" s="10">
        <f>IF(F335&gt;=Cutoffs!$D$5,4,IF(F335&gt;=Cutoffs!$C$5,3,IF(F335&gt;=Cutoffs!$B$5,2,1)))</f>
        <v>1</v>
      </c>
      <c r="P335" s="10">
        <f>IF(H335&gt;=Cutoffs!$D$6,4,IF(H335&gt;=Cutoffs!$C$6,3,IF(H335&gt;=Cutoffs!$B$6,2,1)))</f>
        <v>4</v>
      </c>
      <c r="Q335" s="10">
        <f t="shared" si="10"/>
        <v>6</v>
      </c>
      <c r="R335" s="10" t="str">
        <f t="shared" si="11"/>
        <v>Dormant</v>
      </c>
    </row>
    <row r="336" spans="1:18" x14ac:dyDescent="0.55000000000000004">
      <c r="A336" s="10" t="s">
        <v>376</v>
      </c>
      <c r="B336" s="10" t="s">
        <v>47</v>
      </c>
      <c r="C336" s="10" t="s">
        <v>35</v>
      </c>
      <c r="D336" s="10" t="s">
        <v>39</v>
      </c>
      <c r="E336" s="10">
        <v>0</v>
      </c>
      <c r="F336" s="10">
        <v>50</v>
      </c>
      <c r="G336" s="10">
        <v>3</v>
      </c>
      <c r="H336" s="10">
        <v>26</v>
      </c>
      <c r="I336" s="11">
        <v>3.12</v>
      </c>
      <c r="J336" s="12">
        <v>0.44</v>
      </c>
      <c r="K336" s="11">
        <v>2.8</v>
      </c>
      <c r="L336" s="10">
        <v>-32</v>
      </c>
      <c r="M336" s="10">
        <v>574</v>
      </c>
      <c r="N336" s="10">
        <f>IF(G336&lt;=Cutoffs!$B$4,4,IF(G336&lt;=Cutoffs!$C$4,3,IF(G336&lt;=Cutoffs!$D$4,2,1)))</f>
        <v>3</v>
      </c>
      <c r="O336" s="10">
        <f>IF(F336&gt;=Cutoffs!$D$5,4,IF(F336&gt;=Cutoffs!$C$5,3,IF(F336&gt;=Cutoffs!$B$5,2,1)))</f>
        <v>1</v>
      </c>
      <c r="P336" s="10">
        <f>IF(H336&gt;=Cutoffs!$D$6,4,IF(H336&gt;=Cutoffs!$C$6,3,IF(H336&gt;=Cutoffs!$B$6,2,1)))</f>
        <v>3</v>
      </c>
      <c r="Q336" s="10">
        <f t="shared" si="10"/>
        <v>7</v>
      </c>
      <c r="R336" s="10" t="str">
        <f t="shared" si="11"/>
        <v>Promising</v>
      </c>
    </row>
  </sheetData>
  <conditionalFormatting sqref="Q2:Q336">
    <cfRule type="dataBar" priority="2">
      <dataBar>
        <cfvo type="num" val="3"/>
        <cfvo type="num" val="12"/>
        <color rgb="FFC9A14A"/>
      </dataBar>
      <extLst>
        <ext xmlns:x14="http://schemas.microsoft.com/office/spreadsheetml/2009/9/main" uri="{B025F937-C7B1-47D3-B67F-A62EFF666E3E}">
          <x14:id>{57804378-4967-4B3A-8F90-321F8C5AB28B}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804378-4967-4B3A-8F90-321F8C5AB28B}">
            <x14:dataBar axisPosition="none">
              <x14:cfvo type="num">
                <xm:f>3</xm:f>
              </x14:cfvo>
              <x14:cfvo type="num">
                <xm:f>12</xm:f>
              </x14:cfvo>
              <x14:negativeFillColor rgb="FFC9A14A"/>
            </x14:dataBar>
          </x14:cfRule>
          <xm:sqref>Q2:Q336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zoomScaleNormal="100" workbookViewId="0">
      <selection activeCell="A6" sqref="A6"/>
    </sheetView>
  </sheetViews>
  <sheetFormatPr defaultColWidth="8.68359375" defaultRowHeight="14.4" x14ac:dyDescent="0.55000000000000004"/>
  <cols>
    <col min="1" max="1" width="34" customWidth="1"/>
    <col min="2" max="4" width="14" customWidth="1"/>
  </cols>
  <sheetData>
    <row r="1" spans="1:4" ht="17.7" x14ac:dyDescent="0.6">
      <c r="A1" s="13" t="s">
        <v>377</v>
      </c>
    </row>
    <row r="3" spans="1:4" x14ac:dyDescent="0.55000000000000004">
      <c r="A3" s="9" t="s">
        <v>378</v>
      </c>
      <c r="B3" s="9" t="s">
        <v>379</v>
      </c>
      <c r="C3" s="9" t="s">
        <v>380</v>
      </c>
      <c r="D3" s="9" t="s">
        <v>381</v>
      </c>
    </row>
    <row r="4" spans="1:4" x14ac:dyDescent="0.55000000000000004">
      <c r="A4" s="10" t="s">
        <v>382</v>
      </c>
      <c r="B4" s="10">
        <f>QUARTILE(Data!$G$2:$G$336,1)</f>
        <v>1</v>
      </c>
      <c r="C4" s="10">
        <f>QUARTILE(Data!$G$2:$G$336,2)</f>
        <v>6</v>
      </c>
      <c r="D4" s="10">
        <f>QUARTILE(Data!$G$2:$G$336,3)</f>
        <v>21.5</v>
      </c>
    </row>
    <row r="5" spans="1:4" x14ac:dyDescent="0.55000000000000004">
      <c r="A5" s="10" t="s">
        <v>383</v>
      </c>
      <c r="B5" s="10">
        <f>QUARTILE(Data!$F$2:$F$336,1)</f>
        <v>52</v>
      </c>
      <c r="C5" s="10">
        <f>QUARTILE(Data!$F$2:$F$336,2)</f>
        <v>96</v>
      </c>
      <c r="D5" s="10">
        <f>QUARTILE(Data!$F$2:$F$336,3)</f>
        <v>157.5</v>
      </c>
    </row>
    <row r="6" spans="1:4" x14ac:dyDescent="0.55000000000000004">
      <c r="A6" s="10" t="s">
        <v>384</v>
      </c>
      <c r="B6" s="10">
        <f>QUARTILE(Data!$H$2:$H$336,1)</f>
        <v>11</v>
      </c>
      <c r="C6" s="10">
        <f>QUARTILE(Data!$H$2:$H$336,2)</f>
        <v>20</v>
      </c>
      <c r="D6" s="10">
        <f>QUARTILE(Data!$H$2:$H$336,3)</f>
        <v>30</v>
      </c>
    </row>
    <row r="8" spans="1:4" x14ac:dyDescent="0.55000000000000004">
      <c r="A8" s="14" t="s">
        <v>385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zoomScaleNormal="100" workbookViewId="0"/>
  </sheetViews>
  <sheetFormatPr defaultColWidth="8.68359375" defaultRowHeight="14.4" x14ac:dyDescent="0.55000000000000004"/>
  <cols>
    <col min="1" max="1" width="14" customWidth="1"/>
    <col min="2" max="2" width="10" customWidth="1"/>
    <col min="3" max="3" width="12" customWidth="1"/>
  </cols>
  <sheetData>
    <row r="1" spans="1:3" ht="17.7" x14ac:dyDescent="0.6">
      <c r="A1" s="13" t="s">
        <v>386</v>
      </c>
    </row>
    <row r="3" spans="1:3" x14ac:dyDescent="0.55000000000000004">
      <c r="A3" s="15" t="s">
        <v>387</v>
      </c>
    </row>
    <row r="5" spans="1:3" x14ac:dyDescent="0.55000000000000004">
      <c r="A5" s="9" t="s">
        <v>388</v>
      </c>
      <c r="B5" s="9" t="s">
        <v>389</v>
      </c>
      <c r="C5" s="9" t="s">
        <v>390</v>
      </c>
    </row>
    <row r="6" spans="1:3" x14ac:dyDescent="0.55000000000000004">
      <c r="A6" s="16">
        <v>3</v>
      </c>
      <c r="B6" s="10">
        <f>COUNTIF(Data!$Q$2:$Q$336,A6)</f>
        <v>14</v>
      </c>
      <c r="C6" s="12">
        <f>IFERROR(AVERAGEIF(Data!$Q$2:$Q$336,A6,Data!$E$2:$E$336),"")</f>
        <v>0.42857142857142855</v>
      </c>
    </row>
    <row r="7" spans="1:3" x14ac:dyDescent="0.55000000000000004">
      <c r="A7" s="16">
        <v>4</v>
      </c>
      <c r="B7" s="10">
        <f>COUNTIF(Data!$Q$2:$Q$336,A7)</f>
        <v>22</v>
      </c>
      <c r="C7" s="12">
        <f>IFERROR(AVERAGEIF(Data!$Q$2:$Q$336,A7,Data!$E$2:$E$336),"")</f>
        <v>0.36363636363636365</v>
      </c>
    </row>
    <row r="8" spans="1:3" x14ac:dyDescent="0.55000000000000004">
      <c r="A8" s="16">
        <v>5</v>
      </c>
      <c r="B8" s="10">
        <f>COUNTIF(Data!$Q$2:$Q$336,A8)</f>
        <v>36</v>
      </c>
      <c r="C8" s="12">
        <f>IFERROR(AVERAGEIF(Data!$Q$2:$Q$336,A8,Data!$E$2:$E$336),"")</f>
        <v>0.3888888888888889</v>
      </c>
    </row>
    <row r="9" spans="1:3" x14ac:dyDescent="0.55000000000000004">
      <c r="A9" s="16">
        <v>6</v>
      </c>
      <c r="B9" s="10">
        <f>COUNTIF(Data!$Q$2:$Q$336,A9)</f>
        <v>50</v>
      </c>
      <c r="C9" s="12">
        <f>IFERROR(AVERAGEIF(Data!$Q$2:$Q$336,A9,Data!$E$2:$E$336),"")</f>
        <v>0.32</v>
      </c>
    </row>
    <row r="10" spans="1:3" x14ac:dyDescent="0.55000000000000004">
      <c r="A10" s="16">
        <v>7</v>
      </c>
      <c r="B10" s="10">
        <f>COUNTIF(Data!$Q$2:$Q$336,A10)</f>
        <v>31</v>
      </c>
      <c r="C10" s="12">
        <f>IFERROR(AVERAGEIF(Data!$Q$2:$Q$336,A10,Data!$E$2:$E$336),"")</f>
        <v>0.25806451612903225</v>
      </c>
    </row>
    <row r="11" spans="1:3" x14ac:dyDescent="0.55000000000000004">
      <c r="A11" s="16">
        <v>8</v>
      </c>
      <c r="B11" s="10">
        <f>COUNTIF(Data!$Q$2:$Q$336,A11)</f>
        <v>60</v>
      </c>
      <c r="C11" s="12">
        <f>IFERROR(AVERAGEIF(Data!$Q$2:$Q$336,A11,Data!$E$2:$E$336),"")</f>
        <v>0.1</v>
      </c>
    </row>
    <row r="12" spans="1:3" x14ac:dyDescent="0.55000000000000004">
      <c r="A12" s="16">
        <v>9</v>
      </c>
      <c r="B12" s="10">
        <f>COUNTIF(Data!$Q$2:$Q$336,A12)</f>
        <v>46</v>
      </c>
      <c r="C12" s="12">
        <f>IFERROR(AVERAGEIF(Data!$Q$2:$Q$336,A12,Data!$E$2:$E$336),"")</f>
        <v>0.10869565217391304</v>
      </c>
    </row>
    <row r="13" spans="1:3" x14ac:dyDescent="0.55000000000000004">
      <c r="A13" s="16">
        <v>10</v>
      </c>
      <c r="B13" s="10">
        <f>COUNTIF(Data!$Q$2:$Q$336,A13)</f>
        <v>38</v>
      </c>
      <c r="C13" s="12">
        <f>IFERROR(AVERAGEIF(Data!$Q$2:$Q$336,A13,Data!$E$2:$E$336),"")</f>
        <v>2.6315789473684209E-2</v>
      </c>
    </row>
    <row r="14" spans="1:3" x14ac:dyDescent="0.55000000000000004">
      <c r="A14" s="16">
        <v>11</v>
      </c>
      <c r="B14" s="10">
        <f>COUNTIF(Data!$Q$2:$Q$336,A14)</f>
        <v>24</v>
      </c>
      <c r="C14" s="12">
        <f>IFERROR(AVERAGEIF(Data!$Q$2:$Q$336,A14,Data!$E$2:$E$336),"")</f>
        <v>0.125</v>
      </c>
    </row>
    <row r="15" spans="1:3" x14ac:dyDescent="0.55000000000000004">
      <c r="A15" s="16">
        <v>12</v>
      </c>
      <c r="B15" s="10">
        <f>COUNTIF(Data!$Q$2:$Q$336,A15)</f>
        <v>14</v>
      </c>
      <c r="C15" s="12">
        <f>IFERROR(AVERAGEIF(Data!$Q$2:$Q$336,A15,Data!$E$2:$E$336),"")</f>
        <v>0</v>
      </c>
    </row>
    <row r="18" spans="1:3" x14ac:dyDescent="0.55000000000000004">
      <c r="A18" s="15" t="s">
        <v>391</v>
      </c>
    </row>
    <row r="19" spans="1:3" x14ac:dyDescent="0.55000000000000004">
      <c r="A19" s="9" t="s">
        <v>28</v>
      </c>
      <c r="B19" s="9" t="s">
        <v>389</v>
      </c>
      <c r="C19" s="9" t="s">
        <v>390</v>
      </c>
    </row>
    <row r="20" spans="1:3" x14ac:dyDescent="0.55000000000000004">
      <c r="A20" s="10" t="s">
        <v>392</v>
      </c>
      <c r="B20" s="10">
        <f>COUNTIF(Data!$R$2:$R$336,A20)</f>
        <v>101</v>
      </c>
      <c r="C20" s="12">
        <f>IFERROR(AVERAGEIF(Data!$R$2:$R$336,A20,Data!$E$2:$E$336),"")</f>
        <v>3.9603960396039604E-2</v>
      </c>
    </row>
    <row r="21" spans="1:3" x14ac:dyDescent="0.55000000000000004">
      <c r="A21" s="10" t="s">
        <v>393</v>
      </c>
      <c r="B21" s="10">
        <f>COUNTIF(Data!$R$2:$R$336,A21)</f>
        <v>77</v>
      </c>
      <c r="C21" s="12">
        <f>IFERROR(AVERAGEIF(Data!$R$2:$R$336,A21,Data!$E$2:$E$336),"")</f>
        <v>7.792207792207792E-2</v>
      </c>
    </row>
    <row r="22" spans="1:3" x14ac:dyDescent="0.55000000000000004">
      <c r="A22" s="10" t="s">
        <v>394</v>
      </c>
      <c r="B22" s="10">
        <f>COUNTIF(Data!$R$2:$R$336,A22)</f>
        <v>36</v>
      </c>
      <c r="C22" s="12">
        <f>IFERROR(AVERAGEIF(Data!$R$2:$R$336,A22,Data!$E$2:$E$336),"")</f>
        <v>0.27777777777777779</v>
      </c>
    </row>
    <row r="23" spans="1:3" x14ac:dyDescent="0.55000000000000004">
      <c r="A23" s="10" t="s">
        <v>395</v>
      </c>
      <c r="B23" s="10">
        <f>COUNTIF(Data!$R$2:$R$336,A23)</f>
        <v>69</v>
      </c>
      <c r="C23" s="12">
        <f>IFERROR(AVERAGEIF(Data!$R$2:$R$336,A23,Data!$E$2:$E$336),"")</f>
        <v>0.3188405797101449</v>
      </c>
    </row>
    <row r="24" spans="1:3" x14ac:dyDescent="0.55000000000000004">
      <c r="A24" s="10" t="s">
        <v>396</v>
      </c>
      <c r="B24" s="10">
        <f>COUNTIF(Data!$R$2:$R$336,A24)</f>
        <v>52</v>
      </c>
      <c r="C24" s="12">
        <f>IFERROR(AVERAGEIF(Data!$R$2:$R$336,A24,Data!$E$2:$E$336),"")</f>
        <v>0.48076923076923078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zoomScaleNormal="100" workbookViewId="0"/>
  </sheetViews>
  <sheetFormatPr defaultColWidth="8.68359375" defaultRowHeight="14.4" x14ac:dyDescent="0.55000000000000004"/>
  <cols>
    <col min="1" max="5" width="10" customWidth="1"/>
  </cols>
  <sheetData>
    <row r="1" spans="1:5" ht="17.7" x14ac:dyDescent="0.6">
      <c r="A1" s="13" t="s">
        <v>397</v>
      </c>
    </row>
    <row r="2" spans="1:5" x14ac:dyDescent="0.55000000000000004">
      <c r="A2" s="14" t="s">
        <v>398</v>
      </c>
    </row>
    <row r="4" spans="1:5" x14ac:dyDescent="0.55000000000000004">
      <c r="A4" s="17" t="s">
        <v>399</v>
      </c>
      <c r="B4" s="9">
        <v>1</v>
      </c>
      <c r="C4" s="9">
        <v>2</v>
      </c>
      <c r="D4" s="9">
        <v>3</v>
      </c>
      <c r="E4" s="9">
        <v>4</v>
      </c>
    </row>
    <row r="5" spans="1:5" x14ac:dyDescent="0.55000000000000004">
      <c r="A5" s="9">
        <v>1</v>
      </c>
      <c r="B5" s="18">
        <f>IFERROR(AVERAGEIFS(Data!$E$2:$E$336,Data!$N$2:$N$336,$A5,Data!$O$2:$O$336,B$4),"")</f>
        <v>0.43478260869565216</v>
      </c>
      <c r="C5" s="18">
        <f>IFERROR(AVERAGEIFS(Data!$E$2:$E$336,Data!$N$2:$N$336,$A5,Data!$O$2:$O$336,C$4),"")</f>
        <v>0.51724137931034486</v>
      </c>
      <c r="D5" s="18">
        <f>IFERROR(AVERAGEIFS(Data!$E$2:$E$336,Data!$N$2:$N$336,$A5,Data!$O$2:$O$336,D$4),"")</f>
        <v>0.29411764705882354</v>
      </c>
      <c r="E5" s="18">
        <f>IFERROR(AVERAGEIFS(Data!$E$2:$E$336,Data!$N$2:$N$336,$A5,Data!$O$2:$O$336,E$4),"")</f>
        <v>0.53333333333333333</v>
      </c>
    </row>
    <row r="6" spans="1:5" x14ac:dyDescent="0.55000000000000004">
      <c r="A6" s="9">
        <v>2</v>
      </c>
      <c r="B6" s="18">
        <f>IFERROR(AVERAGEIFS(Data!$E$2:$E$336,Data!$N$2:$N$336,$A6,Data!$O$2:$O$336,B$4),"")</f>
        <v>0.27777777777777779</v>
      </c>
      <c r="C6" s="18">
        <f>IFERROR(AVERAGEIFS(Data!$E$2:$E$336,Data!$N$2:$N$336,$A6,Data!$O$2:$O$336,C$4),"")</f>
        <v>0.27777777777777779</v>
      </c>
      <c r="D6" s="18">
        <f>IFERROR(AVERAGEIFS(Data!$E$2:$E$336,Data!$N$2:$N$336,$A6,Data!$O$2:$O$336,D$4),"")</f>
        <v>0.23809523809523808</v>
      </c>
      <c r="E6" s="18">
        <f>IFERROR(AVERAGEIFS(Data!$E$2:$E$336,Data!$N$2:$N$336,$A6,Data!$O$2:$O$336,E$4),"")</f>
        <v>0.25</v>
      </c>
    </row>
    <row r="7" spans="1:5" x14ac:dyDescent="0.55000000000000004">
      <c r="A7" s="9">
        <v>3</v>
      </c>
      <c r="B7" s="18">
        <f>IFERROR(AVERAGEIFS(Data!$E$2:$E$336,Data!$N$2:$N$336,$A7,Data!$O$2:$O$336,B$4),"")</f>
        <v>0.125</v>
      </c>
      <c r="C7" s="18">
        <f>IFERROR(AVERAGEIFS(Data!$E$2:$E$336,Data!$N$2:$N$336,$A7,Data!$O$2:$O$336,C$4),"")</f>
        <v>0.14285714285714285</v>
      </c>
      <c r="D7" s="18">
        <f>IFERROR(AVERAGEIFS(Data!$E$2:$E$336,Data!$N$2:$N$336,$A7,Data!$O$2:$O$336,D$4),"")</f>
        <v>3.4482758620689655E-2</v>
      </c>
      <c r="E7" s="18">
        <f>IFERROR(AVERAGEIFS(Data!$E$2:$E$336,Data!$N$2:$N$336,$A7,Data!$O$2:$O$336,E$4),"")</f>
        <v>0.12</v>
      </c>
    </row>
    <row r="8" spans="1:5" x14ac:dyDescent="0.55000000000000004">
      <c r="A8" s="9">
        <v>4</v>
      </c>
      <c r="B8" s="18">
        <f>IFERROR(AVERAGEIFS(Data!$E$2:$E$336,Data!$N$2:$N$336,$A8,Data!$O$2:$O$336,B$4),"")</f>
        <v>5.5555555555555552E-2</v>
      </c>
      <c r="C8" s="18">
        <f>IFERROR(AVERAGEIFS(Data!$E$2:$E$336,Data!$N$2:$N$336,$A8,Data!$O$2:$O$336,C$4),"")</f>
        <v>0</v>
      </c>
      <c r="D8" s="18">
        <f>IFERROR(AVERAGEIFS(Data!$E$2:$E$336,Data!$N$2:$N$336,$A8,Data!$O$2:$O$336,D$4),"")</f>
        <v>0</v>
      </c>
      <c r="E8" s="18">
        <f>IFERROR(AVERAGEIFS(Data!$E$2:$E$336,Data!$N$2:$N$336,$A8,Data!$O$2:$O$336,E$4),"")</f>
        <v>0</v>
      </c>
    </row>
    <row r="11" spans="1:5" x14ac:dyDescent="0.55000000000000004">
      <c r="A11" s="15" t="s">
        <v>400</v>
      </c>
    </row>
    <row r="12" spans="1:5" x14ac:dyDescent="0.55000000000000004">
      <c r="A12" s="17" t="s">
        <v>399</v>
      </c>
      <c r="B12" s="9">
        <v>1</v>
      </c>
      <c r="C12" s="9">
        <v>2</v>
      </c>
      <c r="D12" s="9">
        <v>3</v>
      </c>
      <c r="E12" s="9">
        <v>4</v>
      </c>
    </row>
    <row r="13" spans="1:5" x14ac:dyDescent="0.55000000000000004">
      <c r="A13" s="9">
        <v>1</v>
      </c>
      <c r="B13" s="19">
        <f>COUNTIFS(Data!$N$2:$N$336,$A13,Data!$O$2:$O$336,B$12)</f>
        <v>23</v>
      </c>
      <c r="C13" s="19">
        <f>COUNTIFS(Data!$N$2:$N$336,$A13,Data!$O$2:$O$336,C$12)</f>
        <v>29</v>
      </c>
      <c r="D13" s="19">
        <f>COUNTIFS(Data!$N$2:$N$336,$A13,Data!$O$2:$O$336,D$12)</f>
        <v>17</v>
      </c>
      <c r="E13" s="19">
        <f>COUNTIFS(Data!$N$2:$N$336,$A13,Data!$O$2:$O$336,E$12)</f>
        <v>15</v>
      </c>
    </row>
    <row r="14" spans="1:5" x14ac:dyDescent="0.55000000000000004">
      <c r="A14" s="9">
        <v>2</v>
      </c>
      <c r="B14" s="19">
        <f>COUNTIFS(Data!$N$2:$N$336,$A14,Data!$O$2:$O$336,B$12)</f>
        <v>18</v>
      </c>
      <c r="C14" s="19">
        <f>COUNTIFS(Data!$N$2:$N$336,$A14,Data!$O$2:$O$336,C$12)</f>
        <v>18</v>
      </c>
      <c r="D14" s="19">
        <f>COUNTIFS(Data!$N$2:$N$336,$A14,Data!$O$2:$O$336,D$12)</f>
        <v>21</v>
      </c>
      <c r="E14" s="19">
        <f>COUNTIFS(Data!$N$2:$N$336,$A14,Data!$O$2:$O$336,E$12)</f>
        <v>16</v>
      </c>
    </row>
    <row r="15" spans="1:5" x14ac:dyDescent="0.55000000000000004">
      <c r="A15" s="9">
        <v>3</v>
      </c>
      <c r="B15" s="19">
        <f>COUNTIFS(Data!$N$2:$N$336,$A15,Data!$O$2:$O$336,B$12)</f>
        <v>24</v>
      </c>
      <c r="C15" s="19">
        <f>COUNTIFS(Data!$N$2:$N$336,$A15,Data!$O$2:$O$336,C$12)</f>
        <v>14</v>
      </c>
      <c r="D15" s="19">
        <f>COUNTIFS(Data!$N$2:$N$336,$A15,Data!$O$2:$O$336,D$12)</f>
        <v>29</v>
      </c>
      <c r="E15" s="19">
        <f>COUNTIFS(Data!$N$2:$N$336,$A15,Data!$O$2:$O$336,E$12)</f>
        <v>25</v>
      </c>
    </row>
    <row r="16" spans="1:5" x14ac:dyDescent="0.55000000000000004">
      <c r="A16" s="9">
        <v>4</v>
      </c>
      <c r="B16" s="19">
        <f>COUNTIFS(Data!$N$2:$N$336,$A16,Data!$O$2:$O$336,B$12)</f>
        <v>18</v>
      </c>
      <c r="C16" s="19">
        <f>COUNTIFS(Data!$N$2:$N$336,$A16,Data!$O$2:$O$336,C$12)</f>
        <v>21</v>
      </c>
      <c r="D16" s="19">
        <f>COUNTIFS(Data!$N$2:$N$336,$A16,Data!$O$2:$O$336,D$12)</f>
        <v>19</v>
      </c>
      <c r="E16" s="19">
        <f>COUNTIFS(Data!$N$2:$N$336,$A16,Data!$O$2:$O$336,E$12)</f>
        <v>28</v>
      </c>
    </row>
  </sheetData>
  <conditionalFormatting sqref="B5:E8">
    <cfRule type="colorScale" priority="2">
      <colorScale>
        <cfvo type="num" val="0"/>
        <cfvo type="num" val="0.2"/>
        <cfvo type="num" val="0.5"/>
        <color rgb="FF2E7D32"/>
        <color rgb="FFFFF1A8"/>
        <color rgb="FFC62828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zoomScaleNormal="100" workbookViewId="0"/>
  </sheetViews>
  <sheetFormatPr defaultColWidth="8.68359375" defaultRowHeight="14.4" x14ac:dyDescent="0.55000000000000004"/>
  <cols>
    <col min="1" max="1" width="22" customWidth="1"/>
    <col min="2" max="4" width="13" customWidth="1"/>
  </cols>
  <sheetData>
    <row r="1" spans="1:4" ht="17.7" x14ac:dyDescent="0.6">
      <c r="A1" s="13" t="s">
        <v>401</v>
      </c>
    </row>
    <row r="2" spans="1:4" x14ac:dyDescent="0.55000000000000004">
      <c r="A2" s="14" t="s">
        <v>402</v>
      </c>
    </row>
    <row r="4" spans="1:4" x14ac:dyDescent="0.55000000000000004">
      <c r="A4" s="9" t="s">
        <v>403</v>
      </c>
      <c r="B4" s="9" t="s">
        <v>404</v>
      </c>
      <c r="C4" s="9" t="s">
        <v>15</v>
      </c>
      <c r="D4" s="9" t="s">
        <v>405</v>
      </c>
    </row>
    <row r="5" spans="1:4" x14ac:dyDescent="0.55000000000000004">
      <c r="A5" s="10" t="s">
        <v>406</v>
      </c>
      <c r="B5" s="20">
        <f>AVERAGEIFS(Data!$F$2:$F$336,Data!$E$2:$E$336,0)</f>
        <v>108.30597014925372</v>
      </c>
      <c r="C5" s="20">
        <f>AVERAGEIFS(Data!$F$2:$F$336,Data!$E$2:$E$336,1)</f>
        <v>95.328358208955223</v>
      </c>
      <c r="D5" s="12">
        <f t="shared" ref="D5:D12" si="0">IFERROR((C5-B5)/B5,"")</f>
        <v>-0.11982360642182865</v>
      </c>
    </row>
    <row r="6" spans="1:4" x14ac:dyDescent="0.55000000000000004">
      <c r="A6" s="10" t="s">
        <v>407</v>
      </c>
      <c r="B6" s="20">
        <f>AVERAGEIFS(Data!$G$2:$G$336,Data!$E$2:$E$336,0)</f>
        <v>10.473880597014926</v>
      </c>
      <c r="C6" s="20">
        <f>AVERAGEIFS(Data!$G$2:$G$336,Data!$E$2:$E$336,1)</f>
        <v>27.074626865671643</v>
      </c>
      <c r="D6" s="12">
        <f t="shared" si="0"/>
        <v>1.5849661560384753</v>
      </c>
    </row>
    <row r="7" spans="1:4" x14ac:dyDescent="0.55000000000000004">
      <c r="A7" s="10" t="s">
        <v>408</v>
      </c>
      <c r="B7" s="20">
        <f>AVERAGEIFS(Data!$H$2:$H$336,Data!$E$2:$E$336,0)</f>
        <v>23.007462686567163</v>
      </c>
      <c r="C7" s="20">
        <f>AVERAGEIFS(Data!$H$2:$H$336,Data!$E$2:$E$336,1)</f>
        <v>17.104477611940297</v>
      </c>
      <c r="D7" s="12">
        <f t="shared" si="0"/>
        <v>-0.25656827765163803</v>
      </c>
    </row>
    <row r="8" spans="1:4" x14ac:dyDescent="0.55000000000000004">
      <c r="A8" s="10" t="s">
        <v>409</v>
      </c>
      <c r="B8" s="11">
        <f>AVERAGEIFS(Data!$I$2:$I$336,Data!$E$2:$E$336,0)</f>
        <v>3.5828358208955207</v>
      </c>
      <c r="C8" s="11">
        <f>AVERAGEIFS(Data!$I$2:$I$336,Data!$E$2:$E$336,1)</f>
        <v>4.2838805970149245</v>
      </c>
      <c r="D8" s="12">
        <f t="shared" si="0"/>
        <v>0.19566756925640524</v>
      </c>
    </row>
    <row r="9" spans="1:4" x14ac:dyDescent="0.55000000000000004">
      <c r="A9" s="10" t="s">
        <v>410</v>
      </c>
      <c r="B9" s="12">
        <f>AVERAGEIFS(Data!$J$2:$J$336,Data!$E$2:$E$336,0)</f>
        <v>0.49954104477611933</v>
      </c>
      <c r="C9" s="12">
        <f>AVERAGEIFS(Data!$J$2:$J$336,Data!$E$2:$E$336,1)</f>
        <v>0.50717910447761194</v>
      </c>
      <c r="D9" s="12">
        <f t="shared" si="0"/>
        <v>1.5290154395452704E-2</v>
      </c>
    </row>
    <row r="10" spans="1:4" x14ac:dyDescent="0.55000000000000004">
      <c r="A10" s="10" t="s">
        <v>411</v>
      </c>
      <c r="B10" s="11">
        <f>AVERAGEIFS(Data!$K$2:$K$336,Data!$E$2:$E$336,0)</f>
        <v>3.2189552238805952</v>
      </c>
      <c r="C10" s="11">
        <f>AVERAGEIFS(Data!$K$2:$K$336,Data!$E$2:$E$336,1)</f>
        <v>3.654626865671641</v>
      </c>
      <c r="D10" s="12">
        <f t="shared" si="0"/>
        <v>0.13534566699123701</v>
      </c>
    </row>
    <row r="11" spans="1:4" x14ac:dyDescent="0.55000000000000004">
      <c r="A11" s="10" t="s">
        <v>412</v>
      </c>
      <c r="B11" s="20">
        <f>AVERAGEIFS(Data!$L$2:$L$336,Data!$E$2:$E$336,0)</f>
        <v>27.977611940298509</v>
      </c>
      <c r="C11" s="20">
        <f>AVERAGEIFS(Data!$L$2:$L$336,Data!$E$2:$E$336,1)</f>
        <v>3.8955223880597014</v>
      </c>
      <c r="D11" s="12">
        <f t="shared" si="0"/>
        <v>-0.8607628700986929</v>
      </c>
    </row>
    <row r="12" spans="1:4" x14ac:dyDescent="0.55000000000000004">
      <c r="A12" s="10" t="s">
        <v>413</v>
      </c>
      <c r="B12" s="20">
        <f>AVERAGEIFS(Data!$M$2:$M$336,Data!$E$2:$E$336,0)</f>
        <v>440.08208955223881</v>
      </c>
      <c r="C12" s="20">
        <f>AVERAGEIFS(Data!$M$2:$M$336,Data!$E$2:$E$336,1)</f>
        <v>380.53731343283584</v>
      </c>
      <c r="D12" s="12">
        <f t="shared" si="0"/>
        <v>-0.13530379338997131</v>
      </c>
    </row>
  </sheetData>
  <conditionalFormatting sqref="D5:D12">
    <cfRule type="colorScale" priority="2">
      <colorScale>
        <cfvo type="num" val="-1"/>
        <cfvo type="num" val="0"/>
        <cfvo type="num" val="1"/>
        <color rgb="FFC62828"/>
        <color rgb="FFFFFFFF"/>
        <color rgb="FF2E7D32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zoomScaleNormal="100" workbookViewId="0">
      <selection activeCell="C23" sqref="C23"/>
    </sheetView>
  </sheetViews>
  <sheetFormatPr defaultColWidth="8.68359375" defaultRowHeight="14.4" x14ac:dyDescent="0.55000000000000004"/>
  <cols>
    <col min="1" max="1" width="12" customWidth="1"/>
    <col min="2" max="2" width="10" customWidth="1"/>
    <col min="3" max="3" width="12" customWidth="1"/>
  </cols>
  <sheetData>
    <row r="1" spans="1:3" ht="17.7" x14ac:dyDescent="0.6">
      <c r="A1" s="13" t="s">
        <v>414</v>
      </c>
    </row>
    <row r="3" spans="1:3" x14ac:dyDescent="0.55000000000000004">
      <c r="A3" s="15" t="s">
        <v>415</v>
      </c>
    </row>
    <row r="4" spans="1:3" x14ac:dyDescent="0.55000000000000004">
      <c r="A4" s="9" t="s">
        <v>416</v>
      </c>
      <c r="B4" s="9" t="s">
        <v>389</v>
      </c>
      <c r="C4" s="9" t="s">
        <v>390</v>
      </c>
    </row>
    <row r="5" spans="1:3" x14ac:dyDescent="0.55000000000000004">
      <c r="A5" s="10" t="s">
        <v>32</v>
      </c>
      <c r="B5" s="10">
        <f>COUNTIF(Data!$D$2:$D$336,A5)</f>
        <v>48</v>
      </c>
      <c r="C5" s="12">
        <f>IFERROR(AVERAGEIF(Data!$D$2:$D$336,A5,Data!$E$2:$E$336),"")</f>
        <v>0.25</v>
      </c>
    </row>
    <row r="6" spans="1:3" x14ac:dyDescent="0.55000000000000004">
      <c r="A6" s="10" t="s">
        <v>41</v>
      </c>
      <c r="B6" s="10">
        <f>COUNTIF(Data!$D$2:$D$336,A6)</f>
        <v>74</v>
      </c>
      <c r="C6" s="12">
        <f>IFERROR(AVERAGEIF(Data!$D$2:$D$336,A6,Data!$E$2:$E$336),"")</f>
        <v>0.22972972972972974</v>
      </c>
    </row>
    <row r="7" spans="1:3" x14ac:dyDescent="0.55000000000000004">
      <c r="A7" s="10" t="s">
        <v>44</v>
      </c>
      <c r="B7" s="10">
        <f>COUNTIF(Data!$D$2:$D$336,A7)</f>
        <v>75</v>
      </c>
      <c r="C7" s="12">
        <f>IFERROR(AVERAGEIF(Data!$D$2:$D$336,A7,Data!$E$2:$E$336),"")</f>
        <v>0.2</v>
      </c>
    </row>
    <row r="8" spans="1:3" x14ac:dyDescent="0.55000000000000004">
      <c r="A8" s="10" t="s">
        <v>39</v>
      </c>
      <c r="B8" s="10">
        <f>COUNTIF(Data!$D$2:$D$336,A8)</f>
        <v>67</v>
      </c>
      <c r="C8" s="12">
        <f>IFERROR(AVERAGEIF(Data!$D$2:$D$336,A8,Data!$E$2:$E$336),"")</f>
        <v>0.17910447761194029</v>
      </c>
    </row>
    <row r="9" spans="1:3" x14ac:dyDescent="0.55000000000000004">
      <c r="A9" s="10" t="s">
        <v>36</v>
      </c>
      <c r="B9" s="10">
        <f>COUNTIF(Data!$D$2:$D$336,A9)</f>
        <v>71</v>
      </c>
      <c r="C9" s="12">
        <f>IFERROR(AVERAGEIF(Data!$D$2:$D$336,A9,Data!$E$2:$E$336),"")</f>
        <v>0.15492957746478872</v>
      </c>
    </row>
    <row r="12" spans="1:3" x14ac:dyDescent="0.55000000000000004">
      <c r="A12" s="15" t="s">
        <v>417</v>
      </c>
    </row>
    <row r="13" spans="1:3" x14ac:dyDescent="0.55000000000000004">
      <c r="A13" s="9" t="s">
        <v>12</v>
      </c>
      <c r="B13" s="9" t="s">
        <v>389</v>
      </c>
      <c r="C13" s="9" t="s">
        <v>390</v>
      </c>
    </row>
    <row r="14" spans="1:3" x14ac:dyDescent="0.55000000000000004">
      <c r="A14" s="10" t="s">
        <v>58</v>
      </c>
      <c r="B14" s="10">
        <f>COUNTIF(Data!$B$2:$B$336,A14)</f>
        <v>30</v>
      </c>
      <c r="C14" s="12">
        <f>IFERROR(AVERAGEIF(Data!$B$2:$B$336,A14,Data!$E$2:$E$336),"")</f>
        <v>0.23333333333333334</v>
      </c>
    </row>
    <row r="15" spans="1:3" x14ac:dyDescent="0.55000000000000004">
      <c r="A15" s="10" t="s">
        <v>43</v>
      </c>
      <c r="B15" s="10">
        <f>COUNTIF(Data!$B$2:$B$336,A15)</f>
        <v>37</v>
      </c>
      <c r="C15" s="12">
        <f>IFERROR(AVERAGEIF(Data!$B$2:$B$336,A15,Data!$E$2:$E$336),"")</f>
        <v>0.1891891891891892</v>
      </c>
    </row>
    <row r="16" spans="1:3" x14ac:dyDescent="0.55000000000000004">
      <c r="A16" s="10" t="s">
        <v>30</v>
      </c>
      <c r="B16" s="10">
        <f>COUNTIF(Data!$B$2:$B$336,A16)</f>
        <v>54</v>
      </c>
      <c r="C16" s="12">
        <f>IFERROR(AVERAGEIF(Data!$B$2:$B$336,A16,Data!$E$2:$E$336),"")</f>
        <v>0.24074074074074073</v>
      </c>
    </row>
    <row r="17" spans="1:3" x14ac:dyDescent="0.55000000000000004">
      <c r="A17" s="10" t="s">
        <v>38</v>
      </c>
      <c r="B17" s="10">
        <f>COUNTIF(Data!$B$2:$B$336,A17)</f>
        <v>58</v>
      </c>
      <c r="C17" s="12">
        <f>IFERROR(AVERAGEIF(Data!$B$2:$B$336,A17,Data!$E$2:$E$336),"")</f>
        <v>0.13793103448275862</v>
      </c>
    </row>
    <row r="18" spans="1:3" x14ac:dyDescent="0.55000000000000004">
      <c r="A18" s="10" t="s">
        <v>34</v>
      </c>
      <c r="B18" s="10">
        <f>COUNTIF(Data!$B$2:$B$336,A18)</f>
        <v>69</v>
      </c>
      <c r="C18" s="12">
        <f>IFERROR(AVERAGEIF(Data!$B$2:$B$336,A18,Data!$E$2:$E$336),"")</f>
        <v>0.10144927536231885</v>
      </c>
    </row>
    <row r="19" spans="1:3" x14ac:dyDescent="0.55000000000000004">
      <c r="A19" s="10" t="s">
        <v>47</v>
      </c>
      <c r="B19" s="10">
        <f>COUNTIF(Data!$B$2:$B$336,A19)</f>
        <v>87</v>
      </c>
      <c r="C19" s="12">
        <f>IFERROR(AVERAGEIF(Data!$B$2:$B$336,A19,Data!$E$2:$E$336),"")</f>
        <v>0.28735632183908044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9"/>
  <sheetViews>
    <sheetView zoomScaleNormal="100" workbookViewId="0"/>
  </sheetViews>
  <sheetFormatPr defaultColWidth="8.68359375" defaultRowHeight="14.4" x14ac:dyDescent="0.55000000000000004"/>
  <cols>
    <col min="1" max="1" width="92" customWidth="1"/>
  </cols>
  <sheetData>
    <row r="1" spans="1:1" ht="17.7" x14ac:dyDescent="0.6">
      <c r="A1" s="13" t="s">
        <v>418</v>
      </c>
    </row>
    <row r="2" spans="1:1" x14ac:dyDescent="0.55000000000000004">
      <c r="A2" s="10"/>
    </row>
    <row r="3" spans="1:1" x14ac:dyDescent="0.55000000000000004">
      <c r="A3" s="10" t="s">
        <v>419</v>
      </c>
    </row>
    <row r="4" spans="1:1" x14ac:dyDescent="0.55000000000000004">
      <c r="A4" s="10" t="s">
        <v>420</v>
      </c>
    </row>
    <row r="5" spans="1:1" x14ac:dyDescent="0.55000000000000004">
      <c r="A5" s="10"/>
    </row>
    <row r="6" spans="1:1" x14ac:dyDescent="0.55000000000000004">
      <c r="A6" s="10" t="s">
        <v>421</v>
      </c>
    </row>
    <row r="7" spans="1:1" x14ac:dyDescent="0.55000000000000004">
      <c r="A7" s="10" t="s">
        <v>422</v>
      </c>
    </row>
    <row r="8" spans="1:1" x14ac:dyDescent="0.55000000000000004">
      <c r="A8" s="10" t="s">
        <v>423</v>
      </c>
    </row>
    <row r="9" spans="1:1" x14ac:dyDescent="0.55000000000000004">
      <c r="A9" s="10" t="s">
        <v>424</v>
      </c>
    </row>
    <row r="10" spans="1:1" x14ac:dyDescent="0.55000000000000004">
      <c r="A10" s="10"/>
    </row>
    <row r="11" spans="1:1" x14ac:dyDescent="0.55000000000000004">
      <c r="A11" s="10" t="s">
        <v>425</v>
      </c>
    </row>
    <row r="12" spans="1:1" x14ac:dyDescent="0.55000000000000004">
      <c r="A12" s="10" t="s">
        <v>426</v>
      </c>
    </row>
    <row r="13" spans="1:1" x14ac:dyDescent="0.55000000000000004">
      <c r="A13" s="10" t="s">
        <v>427</v>
      </c>
    </row>
    <row r="14" spans="1:1" x14ac:dyDescent="0.55000000000000004">
      <c r="A14" s="10" t="s">
        <v>428</v>
      </c>
    </row>
    <row r="15" spans="1:1" x14ac:dyDescent="0.55000000000000004">
      <c r="A15" s="10" t="s">
        <v>429</v>
      </c>
    </row>
    <row r="16" spans="1:1" x14ac:dyDescent="0.55000000000000004">
      <c r="A16" s="10" t="s">
        <v>430</v>
      </c>
    </row>
    <row r="17" spans="1:1" x14ac:dyDescent="0.55000000000000004">
      <c r="A17" s="10"/>
    </row>
    <row r="18" spans="1:1" x14ac:dyDescent="0.55000000000000004">
      <c r="A18" s="10" t="s">
        <v>431</v>
      </c>
    </row>
    <row r="19" spans="1:1" x14ac:dyDescent="0.55000000000000004">
      <c r="A19" s="10" t="s">
        <v>432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Data</vt:lpstr>
      <vt:lpstr>Cutoffs</vt:lpstr>
      <vt:lpstr>Segments</vt:lpstr>
      <vt:lpstr>RF_Heatmap</vt:lpstr>
      <vt:lpstr>Drivers</vt:lpstr>
      <vt:lpstr>Cuts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 Jacob</cp:lastModifiedBy>
  <cp:revision>1</cp:revision>
  <dcterms:created xsi:type="dcterms:W3CDTF">2026-05-24T16:15:12Z</dcterms:created>
  <dcterms:modified xsi:type="dcterms:W3CDTF">2026-05-24T16:27:56Z</dcterms:modified>
  <dc:language>en-US</dc:language>
</cp:coreProperties>
</file>